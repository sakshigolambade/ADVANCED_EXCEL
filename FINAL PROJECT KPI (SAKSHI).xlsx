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SHBOARD!!" sheetId="2" r:id="rId5"/>
  </sheets>
  <definedNames/>
  <calcPr/>
  <extLst>
    <ext uri="GoogleSheetsCustomDataVersion2">
      <go:sheetsCustomData xmlns:go="http://customooxmlschemas.google.com/" r:id="rId6" roundtripDataChecksum="cd6k1qoEQUhyFXkadmqjykBP8aQETxIGMIRc3tYb3X4="/>
    </ext>
  </extLst>
</workbook>
</file>

<file path=xl/sharedStrings.xml><?xml version="1.0" encoding="utf-8"?>
<sst xmlns="http://schemas.openxmlformats.org/spreadsheetml/2006/main" count="402" uniqueCount="63">
  <si>
    <t>QUARTER OPTIONS:</t>
  </si>
  <si>
    <t>Q1 2024</t>
  </si>
  <si>
    <t>Q2 2024</t>
  </si>
  <si>
    <t>Q3 2024</t>
  </si>
  <si>
    <t>Q4 2024</t>
  </si>
  <si>
    <t>ACTIVE TABLE FOR SELECTED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</si>
  <si>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</si>
  <si>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</si>
  <si>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</si>
  <si>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</si>
  <si>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</si>
  <si>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</si>
  <si>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</si>
  <si>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</si>
  <si>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</si>
  <si>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</si>
  <si>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</si>
  <si>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</si>
  <si>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</si>
  <si>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</si>
  <si>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</si>
  <si>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</si>
  <si>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</si>
  <si>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</si>
  <si>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</si>
  <si>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</si>
  <si>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</si>
  <si>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</si>
  <si>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</si>
  <si>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</si>
  <si>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</si>
  <si>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</si>
  <si>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</si>
  <si>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</si>
  <si>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</si>
  <si>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</si>
  <si>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</si>
  <si>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</si>
  <si>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</si>
  <si>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</si>
  <si>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</si>
  <si>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</si>
  <si>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</si>
  <si>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October</t>
  </si>
  <si>
    <t>November</t>
  </si>
  <si>
    <t>December</t>
  </si>
  <si>
    <t>KPI OVERVIEW</t>
  </si>
  <si>
    <t>Revenue Compared per year</t>
  </si>
  <si>
    <t>New Customers per year</t>
  </si>
  <si>
    <t>Revenue Actual VS Target</t>
  </si>
  <si>
    <t>New customers Actual VS Target</t>
  </si>
  <si>
    <t>Actual Revenue</t>
  </si>
  <si>
    <t>Actual new customers</t>
  </si>
  <si>
    <t>Target new customers</t>
  </si>
  <si>
    <t>Target achivement</t>
  </si>
  <si>
    <t>Average Revenue Per Year</t>
  </si>
  <si>
    <t>Customer Acquisition costs per year</t>
  </si>
  <si>
    <t xml:space="preserve">Avg. Revenue per Customer </t>
  </si>
  <si>
    <t>Customer Acquisition Cost</t>
  </si>
  <si>
    <t>Actual Revenue Per Customer</t>
  </si>
  <si>
    <t>Actual CAC</t>
  </si>
  <si>
    <t>Target Revnue Per Customer</t>
  </si>
  <si>
    <t>Target CAC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</si>
</sst>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_-[$$-409]* #,##0.00_ ;_-[$$-409]* \-#,##0.00\ ;_-[$$-409]* &quot;-&quot;??_ ;_-@_ 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2F2F2"/>
      <name val="Bahnschrift"/>
    </font>
    <font>
      <sz val="14.0"/>
      <color theme="1"/>
      <name val="Arial"/>
    </font>
    <font>
      <sz val="14.0"/>
      <color theme="1"/>
      <name val="Calibri"/>
    </font>
    <font>
      <sz val="14.0"/>
      <color theme="1"/>
      <name val="Bahnschrift"/>
    </font>
    <font>
      <b/>
      <sz val="16.0"/>
      <color rgb="FFF2F2F2"/>
      <name val="Bahnschrift"/>
    </font>
    <font/>
    <font>
      <sz val="16.0"/>
      <color theme="1"/>
      <name val="Bahnschrift"/>
    </font>
    <font>
      <sz val="11.0"/>
      <color theme="1"/>
      <name val="Bahnschrift"/>
    </font>
    <font>
      <sz val="11.0"/>
      <color rgb="FF0070C0"/>
      <name val="Arial Black"/>
    </font>
    <font>
      <sz val="11.0"/>
      <color theme="0"/>
      <name val="Arial Black"/>
    </font>
    <font>
      <sz val="36.0"/>
      <color rgb="FFF2F2F2"/>
      <name val="Impact"/>
    </font>
    <font>
      <sz val="18.0"/>
      <color rgb="FFF2F2F2"/>
      <name val="Calibri"/>
    </font>
    <font>
      <b/>
      <sz val="16.0"/>
      <color rgb="FFF2F2F2"/>
      <name val="Calibri"/>
    </font>
    <font>
      <sz val="11.0"/>
      <color rgb="FFF2F2F2"/>
      <name val="Calibri"/>
    </font>
    <font>
      <b/>
      <sz val="11.0"/>
      <color rgb="FFF2F2F2"/>
      <name val="Bahnschrift"/>
    </font>
    <font>
      <b/>
      <sz val="11.0"/>
      <color theme="1"/>
      <name val="Calibri"/>
    </font>
    <font>
      <b/>
      <sz val="14.0"/>
      <color rgb="FFF2F2F2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833C0B"/>
        <bgColor rgb="FF833C0B"/>
      </patternFill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1E4E79"/>
        <bgColor rgb="FF1E4E79"/>
      </patternFill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F9000"/>
        <bgColor rgb="FFBF90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385623"/>
        <bgColor rgb="FF385623"/>
      </patternFill>
    </fill>
    <fill>
      <patternFill patternType="solid">
        <fgColor rgb="FFC5E0B3"/>
        <bgColor rgb="FFC5E0B3"/>
      </patternFill>
    </fill>
    <fill>
      <patternFill patternType="solid">
        <fgColor rgb="FFCC0066"/>
        <bgColor rgb="FFCC0066"/>
      </patternFill>
    </fill>
    <fill>
      <patternFill patternType="solid">
        <fgColor rgb="FFFFCCFF"/>
        <bgColor rgb="FFFFCCFF"/>
      </patternFill>
    </fill>
    <fill>
      <patternFill patternType="solid">
        <fgColor rgb="FFA8D08D"/>
        <bgColor rgb="FFA8D08D"/>
      </patternFill>
    </fill>
    <fill>
      <patternFill patternType="solid">
        <fgColor rgb="FFFF99CC"/>
        <bgColor rgb="FFFF99CC"/>
      </patternFill>
    </fill>
  </fills>
  <borders count="47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0" fillId="0" fontId="1" numFmtId="0" xfId="0" applyFont="1"/>
    <xf borderId="0" fillId="0" fontId="4" numFmtId="0" xfId="0" applyAlignment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8" fillId="3" fontId="8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9" fillId="0" fontId="9" numFmtId="164" xfId="0" applyAlignment="1" applyBorder="1" applyFont="1" applyNumberFormat="1">
      <alignment horizontal="center" vertical="center"/>
    </xf>
    <xf borderId="9" fillId="2" fontId="6" numFmtId="164" xfId="0" applyAlignment="1" applyBorder="1" applyFont="1" applyNumberFormat="1">
      <alignment horizontal="center" vertical="center"/>
    </xf>
    <xf borderId="10" fillId="0" fontId="1" numFmtId="0" xfId="0" applyBorder="1" applyFont="1"/>
    <xf borderId="11" fillId="0" fontId="1" numFmtId="0" xfId="0" applyBorder="1" applyFont="1"/>
    <xf borderId="0" fillId="0" fontId="10" numFmtId="0" xfId="0" applyAlignment="1" applyFont="1">
      <alignment horizontal="center" vertical="center"/>
    </xf>
    <xf borderId="2" fillId="3" fontId="11" numFmtId="164" xfId="0" applyAlignment="1" applyBorder="1" applyFont="1" applyNumberFormat="1">
      <alignment horizontal="center" vertical="center"/>
    </xf>
    <xf borderId="12" fillId="3" fontId="11" numFmtId="164" xfId="0" applyAlignment="1" applyBorder="1" applyFont="1" applyNumberFormat="1">
      <alignment horizontal="center" vertical="center"/>
    </xf>
    <xf borderId="13" fillId="3" fontId="11" numFmtId="164" xfId="0" applyAlignment="1" applyBorder="1" applyFont="1" applyNumberFormat="1">
      <alignment horizontal="center" vertical="center"/>
    </xf>
    <xf borderId="14" fillId="3" fontId="11" numFmtId="164" xfId="0" applyAlignment="1" applyBorder="1" applyFont="1" applyNumberFormat="1">
      <alignment horizontal="center" vertical="center"/>
    </xf>
    <xf borderId="3" fillId="3" fontId="11" numFmtId="164" xfId="0" applyAlignment="1" applyBorder="1" applyFont="1" applyNumberFormat="1">
      <alignment horizontal="center" vertical="center"/>
    </xf>
    <xf borderId="3" fillId="4" fontId="9" numFmtId="0" xfId="0" applyAlignment="1" applyBorder="1" applyFill="1" applyFont="1">
      <alignment horizontal="center" vertical="center"/>
    </xf>
    <xf borderId="15" fillId="4" fontId="9" numFmtId="165" xfId="0" applyAlignment="1" applyBorder="1" applyFont="1" applyNumberFormat="1">
      <alignment horizontal="center" vertical="center"/>
    </xf>
    <xf borderId="16" fillId="4" fontId="9" numFmtId="165" xfId="0" applyAlignment="1" applyBorder="1" applyFont="1" applyNumberFormat="1">
      <alignment horizontal="center" vertical="center"/>
    </xf>
    <xf borderId="17" fillId="4" fontId="9" numFmtId="165" xfId="0" applyAlignment="1" applyBorder="1" applyFont="1" applyNumberFormat="1">
      <alignment horizontal="center" vertical="center"/>
    </xf>
    <xf borderId="15" fillId="4" fontId="9" numFmtId="0" xfId="0" applyAlignment="1" applyBorder="1" applyFont="1">
      <alignment horizontal="center" vertical="center"/>
    </xf>
    <xf borderId="16" fillId="4" fontId="9" numFmtId="0" xfId="0" applyAlignment="1" applyBorder="1" applyFont="1">
      <alignment horizontal="center" vertical="center"/>
    </xf>
    <xf borderId="17" fillId="4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vertical="center"/>
    </xf>
    <xf borderId="18" fillId="3" fontId="9" numFmtId="165" xfId="0" applyAlignment="1" applyBorder="1" applyFont="1" applyNumberFormat="1">
      <alignment horizontal="center" vertical="center"/>
    </xf>
    <xf borderId="19" fillId="3" fontId="9" numFmtId="165" xfId="0" applyAlignment="1" applyBorder="1" applyFont="1" applyNumberFormat="1">
      <alignment horizontal="center" vertical="center"/>
    </xf>
    <xf borderId="20" fillId="3" fontId="9" numFmtId="165" xfId="0" applyAlignment="1" applyBorder="1" applyFont="1" applyNumberFormat="1">
      <alignment horizontal="center" vertical="center"/>
    </xf>
    <xf borderId="18" fillId="3" fontId="9" numFmtId="0" xfId="0" applyAlignment="1" applyBorder="1" applyFont="1">
      <alignment horizontal="center" vertical="center"/>
    </xf>
    <xf borderId="19" fillId="3" fontId="9" numFmtId="0" xfId="0" applyAlignment="1" applyBorder="1" applyFont="1">
      <alignment horizontal="center" vertical="center"/>
    </xf>
    <xf borderId="20" fillId="3" fontId="9" numFmtId="0" xfId="0" applyAlignment="1" applyBorder="1" applyFont="1">
      <alignment horizontal="center" vertical="center"/>
    </xf>
    <xf borderId="18" fillId="3" fontId="9" numFmtId="164" xfId="0" applyAlignment="1" applyBorder="1" applyFont="1" applyNumberFormat="1">
      <alignment horizontal="center" vertical="center"/>
    </xf>
    <xf borderId="19" fillId="3" fontId="9" numFmtId="164" xfId="0" applyAlignment="1" applyBorder="1" applyFont="1" applyNumberFormat="1">
      <alignment horizontal="center" vertical="center"/>
    </xf>
    <xf borderId="20" fillId="3" fontId="9" numFmtId="164" xfId="0" applyAlignment="1" applyBorder="1" applyFont="1" applyNumberFormat="1">
      <alignment horizontal="center" vertical="center"/>
    </xf>
    <xf borderId="21" fillId="5" fontId="9" numFmtId="0" xfId="0" applyAlignment="1" applyBorder="1" applyFill="1" applyFont="1">
      <alignment horizontal="center" vertical="center"/>
    </xf>
    <xf borderId="22" fillId="0" fontId="7" numFmtId="0" xfId="0" applyBorder="1" applyFont="1"/>
    <xf borderId="14" fillId="6" fontId="9" numFmtId="164" xfId="0" applyAlignment="1" applyBorder="1" applyFill="1" applyFont="1" applyNumberFormat="1">
      <alignment horizontal="center" vertical="center"/>
    </xf>
    <xf borderId="23" fillId="5" fontId="9" numFmtId="0" xfId="0" applyAlignment="1" applyBorder="1" applyFont="1">
      <alignment horizontal="center" vertical="center"/>
    </xf>
    <xf borderId="24" fillId="0" fontId="7" numFmtId="0" xfId="0" applyBorder="1" applyFont="1"/>
    <xf borderId="17" fillId="6" fontId="9" numFmtId="3" xfId="0" applyAlignment="1" applyBorder="1" applyFont="1" applyNumberFormat="1">
      <alignment horizontal="center" vertical="center"/>
    </xf>
    <xf borderId="25" fillId="5" fontId="9" numFmtId="0" xfId="0" applyAlignment="1" applyBorder="1" applyFont="1">
      <alignment horizontal="center" vertical="center"/>
    </xf>
    <xf borderId="26" fillId="0" fontId="7" numFmtId="0" xfId="0" applyBorder="1" applyFont="1"/>
    <xf borderId="20" fillId="6" fontId="9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7" fillId="7" fontId="9" numFmtId="0" xfId="0" applyAlignment="1" applyBorder="1" applyFill="1" applyFont="1">
      <alignment vertical="center"/>
    </xf>
    <xf borderId="28" fillId="0" fontId="1" numFmtId="0" xfId="0" applyBorder="1" applyFont="1"/>
    <xf borderId="29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3" fillId="8" fontId="1" numFmtId="0" xfId="0" applyAlignment="1" applyBorder="1" applyFill="1" applyFont="1">
      <alignment horizontal="center" vertical="center"/>
    </xf>
    <xf borderId="12" fillId="8" fontId="9" numFmtId="0" xfId="0" applyAlignment="1" applyBorder="1" applyFont="1">
      <alignment horizontal="center" vertical="center"/>
    </xf>
    <xf borderId="13" fillId="8" fontId="9" numFmtId="0" xfId="0" applyAlignment="1" applyBorder="1" applyFont="1">
      <alignment horizontal="center" vertical="center"/>
    </xf>
    <xf borderId="14" fillId="8" fontId="9" numFmtId="0" xfId="0" applyAlignment="1" applyBorder="1" applyFont="1">
      <alignment horizontal="center" vertical="center"/>
    </xf>
    <xf borderId="30" fillId="8" fontId="9" numFmtId="0" xfId="0" applyAlignment="1" applyBorder="1" applyFont="1">
      <alignment horizontal="center" vertical="center"/>
    </xf>
    <xf borderId="16" fillId="8" fontId="9" numFmtId="0" xfId="0" applyAlignment="1" applyBorder="1" applyFont="1">
      <alignment horizontal="center" vertical="center"/>
    </xf>
    <xf borderId="17" fillId="8" fontId="9" numFmtId="0" xfId="0" applyAlignment="1" applyBorder="1" applyFont="1">
      <alignment horizontal="center" vertical="center"/>
    </xf>
    <xf borderId="15" fillId="8" fontId="9" numFmtId="0" xfId="0" applyAlignment="1" applyBorder="1" applyFont="1">
      <alignment horizontal="center" vertical="center"/>
    </xf>
    <xf borderId="31" fillId="4" fontId="9" numFmtId="164" xfId="0" applyAlignment="1" applyBorder="1" applyFont="1" applyNumberFormat="1">
      <alignment horizontal="center" vertical="center"/>
    </xf>
    <xf borderId="3" fillId="4" fontId="9" numFmtId="164" xfId="0" applyAlignment="1" applyBorder="1" applyFont="1" applyNumberFormat="1">
      <alignment horizontal="center" vertical="center"/>
    </xf>
    <xf borderId="15" fillId="4" fontId="9" numFmtId="164" xfId="0" applyAlignment="1" applyBorder="1" applyFont="1" applyNumberFormat="1">
      <alignment horizontal="center" vertical="center"/>
    </xf>
    <xf borderId="16" fillId="4" fontId="9" numFmtId="164" xfId="0" applyAlignment="1" applyBorder="1" applyFont="1" applyNumberFormat="1">
      <alignment horizontal="center" vertical="center"/>
    </xf>
    <xf borderId="17" fillId="4" fontId="9" numFmtId="164" xfId="0" applyAlignment="1" applyBorder="1" applyFont="1" applyNumberFormat="1">
      <alignment horizontal="center" vertical="center"/>
    </xf>
    <xf borderId="30" fillId="4" fontId="9" numFmtId="0" xfId="0" applyAlignment="1" applyBorder="1" applyFont="1">
      <alignment horizontal="center" vertical="center"/>
    </xf>
    <xf borderId="4" fillId="9" fontId="9" numFmtId="164" xfId="0" applyAlignment="1" applyBorder="1" applyFill="1" applyFont="1" applyNumberFormat="1">
      <alignment horizontal="center" vertical="center"/>
    </xf>
    <xf borderId="18" fillId="9" fontId="9" numFmtId="164" xfId="0" applyAlignment="1" applyBorder="1" applyFont="1" applyNumberFormat="1">
      <alignment horizontal="center" vertical="center"/>
    </xf>
    <xf borderId="19" fillId="9" fontId="9" numFmtId="164" xfId="0" applyAlignment="1" applyBorder="1" applyFont="1" applyNumberFormat="1">
      <alignment horizontal="center" vertical="center"/>
    </xf>
    <xf borderId="20" fillId="9" fontId="9" numFmtId="164" xfId="0" applyAlignment="1" applyBorder="1" applyFont="1" applyNumberFormat="1">
      <alignment horizontal="center" vertical="center"/>
    </xf>
    <xf borderId="18" fillId="9" fontId="9" numFmtId="0" xfId="0" applyAlignment="1" applyBorder="1" applyFont="1">
      <alignment horizontal="center" vertical="center"/>
    </xf>
    <xf borderId="19" fillId="9" fontId="9" numFmtId="0" xfId="0" applyAlignment="1" applyBorder="1" applyFont="1">
      <alignment horizontal="center" vertical="center"/>
    </xf>
    <xf borderId="20" fillId="9" fontId="9" numFmtId="0" xfId="0" applyAlignment="1" applyBorder="1" applyFont="1">
      <alignment horizontal="center" vertical="center"/>
    </xf>
    <xf borderId="32" fillId="9" fontId="9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7" fontId="9" numFmtId="0" xfId="0" applyAlignment="1" applyBorder="1" applyFont="1">
      <alignment vertical="center"/>
    </xf>
    <xf borderId="15" fillId="8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33" fillId="10" fontId="12" numFmtId="0" xfId="0" applyAlignment="1" applyBorder="1" applyFill="1" applyFont="1">
      <alignment horizontal="center" vertical="center"/>
    </xf>
    <xf borderId="10" fillId="0" fontId="7" numFmtId="0" xfId="0" applyBorder="1" applyFont="1"/>
    <xf borderId="11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9" fillId="10" fontId="13" numFmtId="0" xfId="0" applyAlignment="1" applyBorder="1" applyFont="1">
      <alignment horizontal="center" readingOrder="0"/>
    </xf>
    <xf borderId="5" fillId="3" fontId="14" numFmtId="0" xfId="0" applyAlignment="1" applyBorder="1" applyFont="1">
      <alignment vertical="center"/>
    </xf>
    <xf borderId="39" fillId="0" fontId="7" numFmtId="0" xfId="0" applyBorder="1" applyFont="1"/>
    <xf borderId="5" fillId="3" fontId="15" numFmtId="0" xfId="0" applyAlignment="1" applyBorder="1" applyFont="1">
      <alignment horizontal="center"/>
    </xf>
    <xf borderId="5" fillId="11" fontId="16" numFmtId="0" xfId="0" applyAlignment="1" applyBorder="1" applyFill="1" applyFont="1">
      <alignment horizontal="center" vertical="center"/>
    </xf>
    <xf borderId="40" fillId="12" fontId="1" numFmtId="0" xfId="0" applyBorder="1" applyFill="1" applyFont="1"/>
    <xf borderId="41" fillId="12" fontId="1" numFmtId="0" xfId="0" applyBorder="1" applyFont="1"/>
    <xf borderId="5" fillId="13" fontId="16" numFmtId="0" xfId="0" applyAlignment="1" applyBorder="1" applyFill="1" applyFont="1">
      <alignment vertical="center"/>
    </xf>
    <xf borderId="40" fillId="14" fontId="1" numFmtId="0" xfId="0" applyBorder="1" applyFill="1" applyFont="1"/>
    <xf borderId="41" fillId="14" fontId="1" numFmtId="0" xfId="0" applyBorder="1" applyFont="1"/>
    <xf borderId="42" fillId="12" fontId="1" numFmtId="0" xfId="0" applyBorder="1" applyFont="1"/>
    <xf borderId="31" fillId="12" fontId="1" numFmtId="0" xfId="0" applyBorder="1" applyFont="1"/>
    <xf borderId="43" fillId="12" fontId="1" numFmtId="0" xfId="0" applyBorder="1" applyFont="1"/>
    <xf borderId="42" fillId="14" fontId="1" numFmtId="0" xfId="0" applyBorder="1" applyFont="1"/>
    <xf borderId="31" fillId="14" fontId="1" numFmtId="0" xfId="0" applyBorder="1" applyFont="1"/>
    <xf borderId="43" fillId="14" fontId="1" numFmtId="0" xfId="0" applyBorder="1" applyFont="1"/>
    <xf borderId="23" fillId="9" fontId="1" numFmtId="0" xfId="0" applyAlignment="1" applyBorder="1" applyFont="1">
      <alignment horizontal="center"/>
    </xf>
    <xf borderId="16" fillId="12" fontId="1" numFmtId="166" xfId="0" applyBorder="1" applyFont="1" applyNumberFormat="1"/>
    <xf borderId="23" fillId="15" fontId="1" numFmtId="0" xfId="0" applyAlignment="1" applyBorder="1" applyFill="1" applyFont="1">
      <alignment horizontal="center"/>
    </xf>
    <xf borderId="16" fillId="15" fontId="1" numFmtId="0" xfId="0" applyBorder="1" applyFont="1"/>
    <xf borderId="16" fillId="12" fontId="1" numFmtId="9" xfId="0" applyBorder="1" applyFont="1" applyNumberFormat="1"/>
    <xf borderId="16" fillId="15" fontId="1" numFmtId="9" xfId="0" applyBorder="1" applyFont="1" applyNumberFormat="1"/>
    <xf borderId="44" fillId="12" fontId="1" numFmtId="0" xfId="0" applyBorder="1" applyFont="1"/>
    <xf borderId="45" fillId="12" fontId="1" numFmtId="0" xfId="0" applyBorder="1" applyFont="1"/>
    <xf borderId="46" fillId="12" fontId="1" numFmtId="0" xfId="0" applyBorder="1" applyFont="1"/>
    <xf borderId="44" fillId="14" fontId="1" numFmtId="0" xfId="0" applyBorder="1" applyFont="1"/>
    <xf borderId="45" fillId="14" fontId="1" numFmtId="0" xfId="0" applyBorder="1" applyFont="1"/>
    <xf borderId="46" fillId="14" fontId="1" numFmtId="0" xfId="0" applyBorder="1" applyFont="1"/>
    <xf borderId="34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5" fillId="3" fontId="18" numFmtId="0" xfId="0" applyAlignment="1" applyBorder="1" applyFont="1">
      <alignment horizontal="center"/>
    </xf>
    <xf borderId="5" fillId="3" fontId="18" numFmtId="0" xfId="0" applyBorder="1" applyFont="1"/>
    <xf borderId="5" fillId="16" fontId="16" numFmtId="0" xfId="0" applyAlignment="1" applyBorder="1" applyFill="1" applyFont="1">
      <alignment horizontal="center" vertical="center"/>
    </xf>
    <xf borderId="40" fillId="17" fontId="1" numFmtId="0" xfId="0" applyBorder="1" applyFill="1" applyFont="1"/>
    <xf borderId="41" fillId="17" fontId="1" numFmtId="0" xfId="0" applyBorder="1" applyFont="1"/>
    <xf borderId="5" fillId="18" fontId="16" numFmtId="0" xfId="0" applyAlignment="1" applyBorder="1" applyFill="1" applyFont="1">
      <alignment horizontal="center" vertical="center"/>
    </xf>
    <xf borderId="40" fillId="19" fontId="1" numFmtId="0" xfId="0" applyBorder="1" applyFill="1" applyFont="1"/>
    <xf borderId="41" fillId="19" fontId="1" numFmtId="0" xfId="0" applyBorder="1" applyFont="1"/>
    <xf borderId="42" fillId="17" fontId="1" numFmtId="0" xfId="0" applyBorder="1" applyFont="1"/>
    <xf borderId="31" fillId="17" fontId="1" numFmtId="0" xfId="0" applyBorder="1" applyFont="1"/>
    <xf borderId="43" fillId="17" fontId="1" numFmtId="0" xfId="0" applyBorder="1" applyFont="1"/>
    <xf borderId="42" fillId="19" fontId="1" numFmtId="0" xfId="0" applyBorder="1" applyFont="1"/>
    <xf borderId="31" fillId="19" fontId="1" numFmtId="0" xfId="0" applyBorder="1" applyFont="1"/>
    <xf borderId="43" fillId="19" fontId="1" numFmtId="0" xfId="0" applyBorder="1" applyFont="1"/>
    <xf borderId="23" fillId="20" fontId="1" numFmtId="0" xfId="0" applyBorder="1" applyFill="1" applyFont="1"/>
    <xf borderId="16" fillId="20" fontId="1" numFmtId="166" xfId="0" applyBorder="1" applyFont="1" applyNumberFormat="1"/>
    <xf borderId="23" fillId="21" fontId="1" numFmtId="0" xfId="0" applyAlignment="1" applyBorder="1" applyFill="1" applyFont="1">
      <alignment horizontal="center"/>
    </xf>
    <xf borderId="16" fillId="21" fontId="1" numFmtId="166" xfId="0" applyBorder="1" applyFont="1" applyNumberFormat="1"/>
    <xf borderId="23" fillId="20" fontId="1" numFmtId="0" xfId="0" applyAlignment="1" applyBorder="1" applyFont="1">
      <alignment horizontal="center"/>
    </xf>
    <xf borderId="16" fillId="20" fontId="1" numFmtId="9" xfId="0" applyBorder="1" applyFont="1" applyNumberFormat="1"/>
    <xf borderId="16" fillId="21" fontId="1" numFmtId="9" xfId="0" applyBorder="1" applyFont="1" applyNumberFormat="1"/>
    <xf borderId="44" fillId="17" fontId="1" numFmtId="0" xfId="0" applyBorder="1" applyFont="1"/>
    <xf borderId="45" fillId="17" fontId="1" numFmtId="0" xfId="0" applyBorder="1" applyFont="1"/>
    <xf borderId="46" fillId="17" fontId="1" numFmtId="0" xfId="0" applyBorder="1" applyFont="1"/>
    <xf borderId="44" fillId="19" fontId="1" numFmtId="0" xfId="0" applyBorder="1" applyFont="1"/>
    <xf borderId="45" fillId="19" fontId="1" numFmtId="0" xfId="0" applyBorder="1" applyFont="1"/>
    <xf borderId="46" fillId="19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Revenue compared  to previous year</a:t>
            </a:r>
          </a:p>
        </c:rich>
      </c:tx>
      <c:layout>
        <c:manualLayout>
          <c:xMode val="edge"/>
          <c:yMode val="edge"/>
          <c:x val="0.21925767118709227"/>
          <c:y val="0.01571708909609412"/>
        </c:manualLayout>
      </c:layout>
      <c:overlay val="0"/>
    </c:title>
    <c:plotArea>
      <c:layout>
        <c:manualLayout>
          <c:xMode val="edge"/>
          <c:yMode val="edge"/>
          <c:x val="0.11848177925127783"/>
          <c:y val="0.11835050593763574"/>
          <c:w val="0.8368725293843767"/>
          <c:h val="0.7083721118116012"/>
        </c:manualLayout>
      </c:layout>
      <c:barChart>
        <c:barDir val="col"/>
        <c:ser>
          <c:idx val="0"/>
          <c:order val="0"/>
          <c:tx>
            <c:v>CURRENT YEAR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DATA!$F$9:$H$9</c:f>
            </c:strRef>
          </c:cat>
          <c:val>
            <c:numRef>
              <c:f>DATA!$C$16:$E$16</c:f>
              <c:numCache/>
            </c:numRef>
          </c:val>
        </c:ser>
        <c:ser>
          <c:idx val="1"/>
          <c:order val="1"/>
          <c:tx>
            <c:v>PREVIOUS YEAR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DATA!$F$9:$H$9</c:f>
            </c:strRef>
          </c:cat>
          <c:val>
            <c:numRef>
              <c:f>DATA!$F$16:$H$16</c:f>
              <c:numCache/>
            </c:numRef>
          </c:val>
        </c:ser>
        <c:axId val="1896566926"/>
        <c:axId val="2000423284"/>
      </c:barChart>
      <c:catAx>
        <c:axId val="1896566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00423284"/>
      </c:catAx>
      <c:valAx>
        <c:axId val="2000423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96566926"/>
      </c:valAx>
    </c:plotArea>
    <c:legend>
      <c:legendPos val="b"/>
      <c:layout>
        <c:manualLayout>
          <c:xMode val="edge"/>
          <c:yMode val="edge"/>
          <c:x val="0.2889763320837791"/>
          <c:y val="0.914285131501536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New Cumstomers compared to previous</a:t>
            </a:r>
          </a:p>
        </c:rich>
      </c:tx>
      <c:layout>
        <c:manualLayout>
          <c:xMode val="edge"/>
          <c:yMode val="edge"/>
          <c:x val="0.18675074929585336"/>
          <c:y val="0.03143417819218824"/>
        </c:manualLayout>
      </c:layout>
      <c:overlay val="0"/>
    </c:title>
    <c:plotArea>
      <c:layout>
        <c:manualLayout>
          <c:xMode val="edge"/>
          <c:yMode val="edge"/>
          <c:x val="0.11848177925127783"/>
          <c:y val="0.060721050521985884"/>
          <c:w val="0.850641027766266"/>
          <c:h val="0.8269537715183211"/>
        </c:manualLayout>
      </c:layout>
      <c:barChart>
        <c:barDir val="col"/>
        <c:ser>
          <c:idx val="0"/>
          <c:order val="0"/>
          <c:tx>
            <c:v>ACTUAL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DATA!$U$9:$W$9</c:f>
            </c:strRef>
          </c:cat>
          <c:val>
            <c:numRef>
              <c:f>DATA!$R$16:$T$16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DATA!$U$9:$W$9</c:f>
            </c:strRef>
          </c:cat>
          <c:val>
            <c:numRef>
              <c:f>DATA!$U$16:$W$16</c:f>
              <c:numCache/>
            </c:numRef>
          </c:val>
        </c:ser>
        <c:axId val="1025878906"/>
        <c:axId val="1337327058"/>
      </c:barChart>
      <c:catAx>
        <c:axId val="1025878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337327058"/>
      </c:catAx>
      <c:valAx>
        <c:axId val="1337327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25878906"/>
      </c:valAx>
    </c:plotArea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Average Revenue Per Cust. compared to
 previous  year</a:t>
            </a:r>
          </a:p>
        </c:rich>
      </c:tx>
      <c:layout>
        <c:manualLayout>
          <c:xMode val="edge"/>
          <c:yMode val="edge"/>
          <c:x val="0.2220098460325874"/>
          <c:y val="0.013311140019274319"/>
        </c:manualLayout>
      </c:layout>
      <c:overlay val="0"/>
    </c:title>
    <c:plotArea>
      <c:layout>
        <c:manualLayout>
          <c:xMode val="edge"/>
          <c:yMode val="edge"/>
          <c:x val="0.12407228557141046"/>
          <c:y val="0.11840281623316935"/>
          <c:w val="0.8478458096801003"/>
          <c:h val="0.7337756872796106"/>
        </c:manualLayout>
      </c:layout>
      <c:barChart>
        <c:barDir val="col"/>
        <c:ser>
          <c:idx val="0"/>
          <c:order val="0"/>
          <c:tx>
            <c:v>current year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cat>
            <c:strRef>
              <c:f>DATA!$AM$9:$AO$9</c:f>
            </c:strRef>
          </c:cat>
          <c:val>
            <c:numRef>
              <c:f>DATA!$AJ$16:$AL$16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cat>
            <c:strRef>
              <c:f>DATA!$AM$9:$AO$9</c:f>
            </c:strRef>
          </c:cat>
          <c:val>
            <c:numRef>
              <c:f>DATA!$AM$16:$AO$16</c:f>
              <c:numCache/>
            </c:numRef>
          </c:val>
        </c:ser>
        <c:axId val="1087542550"/>
        <c:axId val="2116664215"/>
      </c:barChart>
      <c:catAx>
        <c:axId val="1087542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116664215"/>
      </c:catAx>
      <c:valAx>
        <c:axId val="2116664215"/>
        <c:scaling>
          <c:orientation val="minMax"/>
          <c:max val="4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87542550"/>
        <c:majorUnit val="1000.0"/>
      </c:valAx>
    </c:plotArea>
    <c:legend>
      <c:legendPos val="b"/>
      <c:layout>
        <c:manualLayout>
          <c:xMode val="edge"/>
          <c:yMode val="edge"/>
          <c:x val="0.3014662806524641"/>
          <c:y val="0.918329752474908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Customer Acquisition costs comp. to prev.year</a:t>
            </a:r>
          </a:p>
        </c:rich>
      </c:tx>
      <c:overlay val="0"/>
    </c:title>
    <c:plotArea>
      <c:layout>
        <c:manualLayout>
          <c:xMode val="edge"/>
          <c:yMode val="edge"/>
          <c:x val="0.12407237727416684"/>
          <c:y val="0.1326123862859939"/>
          <c:w val="0.8446863068468626"/>
          <c:h val="0.7006200005370553"/>
        </c:manualLayout>
      </c:layout>
      <c:barChart>
        <c:barDir val="col"/>
        <c:ser>
          <c:idx val="0"/>
          <c:order val="0"/>
          <c:tx>
            <c:v>CURRENT</c:v>
          </c:tx>
          <c:spPr>
            <a:solidFill>
              <a:srgbClr val="CC0066"/>
            </a:solidFill>
            <a:ln cmpd="sng">
              <a:solidFill>
                <a:srgbClr val="000000"/>
              </a:solidFill>
            </a:ln>
          </c:spPr>
          <c:cat>
            <c:strRef>
              <c:f>DATA!$AG$9:$AI$9</c:f>
            </c:strRef>
          </c:cat>
          <c:val>
            <c:numRef>
              <c:f>DATA!$AA$16:$AC$16</c:f>
              <c:numCache/>
            </c:numRef>
          </c:val>
        </c:ser>
        <c:ser>
          <c:idx val="1"/>
          <c:order val="1"/>
          <c:tx>
            <c:v>PREVIOUS YEAR</c:v>
          </c:tx>
          <c:spPr>
            <a:solidFill>
              <a:srgbClr val="FFCCFF"/>
            </a:solidFill>
            <a:ln cmpd="sng">
              <a:solidFill>
                <a:srgbClr val="000000"/>
              </a:solidFill>
            </a:ln>
          </c:spPr>
          <c:cat>
            <c:strRef>
              <c:f>DATA!$AG$9:$AI$9</c:f>
            </c:strRef>
          </c:cat>
          <c:val>
            <c:numRef>
              <c:f>DATA!$AG$16:$AI$16</c:f>
              <c:numCache/>
            </c:numRef>
          </c:val>
        </c:ser>
        <c:axId val="1456673057"/>
        <c:axId val="1519325732"/>
      </c:barChart>
      <c:catAx>
        <c:axId val="1456673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19325732"/>
      </c:catAx>
      <c:valAx>
        <c:axId val="1519325732"/>
        <c:scaling>
          <c:orientation val="minMax"/>
          <c:max val="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56673057"/>
        <c:majorUnit val="100.0"/>
        <c:minorUnit val="2.0"/>
      </c:valAx>
    </c:plotArea>
    <c:legend>
      <c:legendPos val="b"/>
      <c:layout>
        <c:manualLayout>
          <c:xMode val="edge"/>
          <c:yMode val="edge"/>
          <c:x val="0.3014662806524641"/>
          <c:y val="0.918329752474908"/>
        </c:manualLayout>
      </c:layout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7</xdr:row>
      <xdr:rowOff>114300</xdr:rowOff>
    </xdr:from>
    <xdr:ext cx="4448175" cy="2609850"/>
    <xdr:graphicFrame>
      <xdr:nvGraphicFramePr>
        <xdr:cNvPr id="140068524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38100</xdr:colOff>
      <xdr:row>7</xdr:row>
      <xdr:rowOff>104775</xdr:rowOff>
    </xdr:from>
    <xdr:ext cx="3971925" cy="2543175"/>
    <xdr:graphicFrame>
      <xdr:nvGraphicFramePr>
        <xdr:cNvPr id="84535617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114300</xdr:colOff>
      <xdr:row>23</xdr:row>
      <xdr:rowOff>190500</xdr:rowOff>
    </xdr:from>
    <xdr:ext cx="4333875" cy="2800350"/>
    <xdr:graphicFrame>
      <xdr:nvGraphicFramePr>
        <xdr:cNvPr id="201594298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114300</xdr:colOff>
      <xdr:row>23</xdr:row>
      <xdr:rowOff>190500</xdr:rowOff>
    </xdr:from>
    <xdr:ext cx="3838575" cy="2800350"/>
    <xdr:graphicFrame>
      <xdr:nvGraphicFramePr>
        <xdr:cNvPr id="146929903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17.71"/>
    <col customWidth="1" min="4" max="4" width="14.57"/>
    <col customWidth="1" min="5" max="5" width="13.86"/>
    <col customWidth="1" min="6" max="6" width="27.71"/>
    <col customWidth="1" min="7" max="8" width="20.29"/>
    <col customWidth="1" min="9" max="11" width="30.14"/>
    <col customWidth="1" min="12" max="14" width="28.43"/>
    <col customWidth="1" min="15" max="17" width="44.43"/>
    <col customWidth="1" min="18" max="20" width="34.71"/>
    <col customWidth="1" min="21" max="23" width="53.29"/>
    <col customWidth="1" min="24" max="26" width="35.0"/>
    <col customWidth="1" min="27" max="29" width="35.86"/>
    <col customWidth="1" min="30" max="32" width="44.71"/>
    <col customWidth="1" min="33" max="35" width="51.71"/>
    <col customWidth="1" min="36" max="38" width="29.57"/>
    <col customWidth="1" min="39" max="41" width="33.71"/>
    <col customWidth="1" min="42" max="44" width="38.57"/>
  </cols>
  <sheetData>
    <row r="1">
      <c r="A1" s="1"/>
      <c r="B1" s="1"/>
      <c r="C1" s="1"/>
      <c r="D1" s="1"/>
      <c r="E1" s="1"/>
      <c r="F1" s="2" t="s">
        <v>0</v>
      </c>
      <c r="G1" s="3" t="s">
        <v>1</v>
      </c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/>
      <c r="B2" s="1"/>
      <c r="C2" s="1"/>
      <c r="D2" s="1"/>
      <c r="E2" s="1"/>
      <c r="F2" s="5"/>
      <c r="G2" s="6" t="s">
        <v>2</v>
      </c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1"/>
      <c r="B3" s="1"/>
      <c r="C3" s="1"/>
      <c r="D3" s="1"/>
      <c r="E3" s="1"/>
      <c r="F3" s="5"/>
      <c r="G3" s="6" t="s">
        <v>3</v>
      </c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1"/>
      <c r="B4" s="1"/>
      <c r="C4" s="1"/>
      <c r="D4" s="1"/>
      <c r="E4" s="1"/>
      <c r="F4" s="5"/>
      <c r="G4" s="7" t="s">
        <v>4</v>
      </c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ht="21.0" customHeight="1">
      <c r="A5" s="1"/>
      <c r="B5" s="8" t="s">
        <v>5</v>
      </c>
      <c r="C5" s="9"/>
      <c r="D5" s="10"/>
      <c r="E5" s="11" t="str">
        <f>'DASHBOARD!!'!D5</f>
        <v>Q2 2024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</row>
    <row r="8">
      <c r="A8" s="1"/>
      <c r="B8" s="13"/>
      <c r="C8" s="14" t="str">
        <f>E5</f>
        <v>Q2 2024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6"/>
    </row>
    <row r="9">
      <c r="A9" s="17"/>
      <c r="B9" s="18"/>
      <c r="C9" s="19" t="str">
        <f t="array" ref="C9">SWITCH($E$5,$G$1,C26,$G$2,C37,$G$3,C48,$G$4,C59)</f>
        <v>April</v>
      </c>
      <c r="D9" s="20" t="str">
        <f t="array" ref="D9">SWITCH($E$5,$G$1,D26,$G$2,D37,$G$3,D48,$G$4,D59)</f>
        <v>May</v>
      </c>
      <c r="E9" s="21" t="str">
        <f t="array" ref="E9">SWITCH($E$5,$G$1,E26,$G$2,E37,$G$3,E48,$G$4,E59)</f>
        <v>June</v>
      </c>
      <c r="F9" s="19" t="str">
        <f t="array" ref="F9">SWITCH($E$5,$G$1,F26,$G$2,F37,$G$3,F48,$G$4,F59)</f>
        <v>April</v>
      </c>
      <c r="G9" s="20" t="str">
        <f t="array" ref="G9">SWITCH($E$5,$G$1,G26,$G$2,G37,$G$3,G48,$G$4,G59)</f>
        <v>May</v>
      </c>
      <c r="H9" s="21" t="str">
        <f t="array" ref="H9">SWITCH($E$5,$G$1,H26,$G$2,H37,$G$3,H48,$G$4,H59)</f>
        <v>June</v>
      </c>
      <c r="I9" s="19" t="str">
        <f t="array" ref="I9">SWITCH($E$5,$G$1,I26,$G$2,I37,$G$3,I48,$G$4,I59)</f>
        <v>April</v>
      </c>
      <c r="J9" s="20" t="str">
        <f t="array" ref="J9">SWITCH($E$5,$G$1,J26,$G$2,J37,$G$3,J48,$G$4,J59)</f>
        <v>May</v>
      </c>
      <c r="K9" s="21" t="str">
        <f t="array" ref="K9">SWITCH($E$5,$G$1,K26,$G$2,K37,$G$3,K48,$G$4,K59)</f>
        <v>June</v>
      </c>
      <c r="L9" s="19" t="str">
        <f t="array" ref="L9">SWITCH($E$5,$G$1,L26,$G$2,L37,$G$3,L48,$G$4,L59)</f>
        <v>April</v>
      </c>
      <c r="M9" s="20" t="str">
        <f t="array" ref="M9">SWITCH($E$5,$G$1,M26,$G$2,M37,$G$3,M48,$G$4,M59)</f>
        <v>May</v>
      </c>
      <c r="N9" s="21" t="str">
        <f t="array" ref="N9">SWITCH($E$5,$G$1,N26,$G$2,N37,$G$3,N48,$G$4,N59)</f>
        <v>June</v>
      </c>
      <c r="O9" s="19" t="str">
        <f t="array" ref="O9">SWITCH($E$5,$G$1,O26,$G$2,O37,$G$3,O48,$G$4,O59)</f>
        <v>April</v>
      </c>
      <c r="P9" s="20" t="str">
        <f t="array" ref="P9">SWITCH($E$5,$G$1,P26,$G$2,P37,$G$3,P48,$G$4,P59)</f>
        <v>May</v>
      </c>
      <c r="Q9" s="21" t="str">
        <f t="array" ref="Q9">SWITCH($E$5,$G$1,Q26,$G$2,Q37,$G$3,Q48,$G$4,Q59)</f>
        <v>June</v>
      </c>
      <c r="R9" s="19" t="str">
        <f t="array" ref="R9">SWITCH($E$5,$G$1,R26,$G$2,R37,$G$3,R48,$G$4,R59)</f>
        <v>April</v>
      </c>
      <c r="S9" s="20" t="str">
        <f t="array" ref="S9">SWITCH($E$5,$G$1,S26,$G$2,S37,$G$3,S48,$G$4,S59)</f>
        <v>May</v>
      </c>
      <c r="T9" s="21" t="str">
        <f t="array" ref="T9">SWITCH($E$5,$G$1,T26,$G$2,T37,$G$3,T48,$G$4,T59)</f>
        <v>June</v>
      </c>
      <c r="U9" s="19" t="str">
        <f t="array" ref="U9">SWITCH($E$5,$G$1,U26,$G$2,U37,$G$3,U48,$G$4,U59)</f>
        <v>April</v>
      </c>
      <c r="V9" s="20" t="str">
        <f t="array" ref="V9">SWITCH($E$5,$G$1,V26,$G$2,V37,$G$3,V48,$G$4,V59)</f>
        <v>May</v>
      </c>
      <c r="W9" s="21" t="str">
        <f t="array" ref="W9">SWITCH($E$5,$G$1,W26,$G$2,W37,$G$3,W48,$G$4,W59)</f>
        <v>June</v>
      </c>
      <c r="X9" s="19" t="str">
        <f t="array" ref="X9">SWITCH($E$5,$G$1,X26,$G$2,X37,$G$3,X48,$G$4,X59)</f>
        <v>April</v>
      </c>
      <c r="Y9" s="20" t="str">
        <f t="array" ref="Y9">SWITCH($E$5,$G$1,Y26,$G$2,Y37,$G$3,Y48,$G$4,Y59)</f>
        <v>May</v>
      </c>
      <c r="Z9" s="21" t="str">
        <f t="array" ref="Z9">SWITCH($E$5,$G$1,Z26,$G$2,Z37,$G$3,Z48,$G$4,Z59)</f>
        <v>June</v>
      </c>
      <c r="AA9" s="19" t="str">
        <f t="array" ref="AA9">SWITCH($E$5,$G$1,AA26,$G$2,AA37,$G$3,AA48,$G$4,AA59)</f>
        <v>April</v>
      </c>
      <c r="AB9" s="20" t="str">
        <f t="array" ref="AB9">SWITCH($E$5,$G$1,AB26,$G$2,AB37,$G$3,AB48,$G$4,AB59)</f>
        <v>May</v>
      </c>
      <c r="AC9" s="21" t="str">
        <f t="array" ref="AC9">SWITCH($E$5,$G$1,AC26,$G$2,AC37,$G$3,AC48,$G$4,AC59)</f>
        <v>June</v>
      </c>
      <c r="AD9" s="19" t="str">
        <f t="array" ref="AD9">SWITCH($E$5,$G$1,AD26,$G$2,AD37,$G$3,AD48,$G$4,AD59)</f>
        <v>April</v>
      </c>
      <c r="AE9" s="20" t="str">
        <f t="array" ref="AE9">SWITCH($E$5,$G$1,AE26,$G$2,AE37,$G$3,AE48,$G$4,AE59)</f>
        <v>May</v>
      </c>
      <c r="AF9" s="21" t="str">
        <f t="array" ref="AF9">SWITCH($E$5,$G$1,AF26,$G$2,AF37,$G$3,AF48,$G$4,AF59)</f>
        <v>June</v>
      </c>
      <c r="AG9" s="19" t="str">
        <f t="array" ref="AG9">SWITCH($E$5,$G$1,AG26,$G$2,AG37,$G$3,AG48,$G$4,AG59)</f>
        <v>April</v>
      </c>
      <c r="AH9" s="20" t="str">
        <f t="array" ref="AH9">SWITCH($E$5,$G$1,AH26,$G$2,AH37,$G$3,AH48,$G$4,AH59)</f>
        <v>May</v>
      </c>
      <c r="AI9" s="21" t="str">
        <f t="array" ref="AI9">SWITCH($E$5,$G$1,AI26,$G$2,AI37,$G$3,AI48,$G$4,AI59)</f>
        <v>June</v>
      </c>
      <c r="AJ9" s="19" t="str">
        <f t="array" ref="AJ9">SWITCH($E$5,$G$1,AJ26,$G$2,AJ37,$G$3,AJ48,$G$4,AJ59)</f>
        <v>April</v>
      </c>
      <c r="AK9" s="20" t="str">
        <f t="array" ref="AK9">SWITCH($E$5,$G$1,AK26,$G$2,AK37,$G$3,AK48,$G$4,AK59)</f>
        <v>May</v>
      </c>
      <c r="AL9" s="21" t="str">
        <f t="array" ref="AL9">SWITCH($E$5,$G$1,AL26,$G$2,AL37,$G$3,AL48,$G$4,AL59)</f>
        <v>June</v>
      </c>
      <c r="AM9" s="19" t="str">
        <f t="array" ref="AM9">SWITCH($E$5,$G$1,AM26,$G$2,AM37,$G$3,AM48,$G$4,AM59)</f>
        <v>April</v>
      </c>
      <c r="AN9" s="20" t="str">
        <f t="array" ref="AN9">SWITCH($E$5,$G$1,AN26,$G$2,AN37,$G$3,AN48,$G$4,AN59)</f>
        <v>May</v>
      </c>
      <c r="AO9" s="21" t="str">
        <f t="array" ref="AO9">SWITCH($E$5,$G$1,AO26,$G$2,AO37,$G$3,AO48,$G$4,AO59)</f>
        <v>June</v>
      </c>
      <c r="AP9" s="19" t="str">
        <f t="array" ref="AP9">SWITCH($E$5,$G$1,AP26,$G$2,AP37,$G$3,AP48,$G$4,AP59)</f>
        <v>April</v>
      </c>
      <c r="AQ9" s="20" t="str">
        <f t="array" ref="AQ9">SWITCH($E$5,$G$1,AQ26,$G$2,AQ37,$G$3,AQ48,$G$4,AQ59)</f>
        <v>May</v>
      </c>
      <c r="AR9" s="21" t="str">
        <f t="array" ref="AR9">SWITCH($E$5,$G$1,AR26,$G$2,AR37,$G$3,AR48,$G$4,AR59)</f>
        <v>June</v>
      </c>
    </row>
    <row r="10">
      <c r="A10" s="17"/>
      <c r="B10" s="22"/>
      <c r="C10" s="19" t="str">
        <f t="array" ref="C10">SWITCH($E$5,$G$1,C27,$G$2,C38,$G$3,C49,$G$4,C60)</f>
        <v>Revenue</v>
      </c>
      <c r="D10" s="20" t="str">
        <f t="array" ref="D10">SWITCH($E$5,$G$1,D27,$G$2,D38,$G$3,D49,$G$4,D60)</f>
        <v>Revenue</v>
      </c>
      <c r="E10" s="21" t="str">
        <f t="array" ref="E10">SWITCH($E$5,$G$1,E27,$G$2,E38,$G$3,E49,$G$4,E60)</f>
        <v>Revenue</v>
      </c>
      <c r="F10" s="19" t="str">
        <f t="array" ref="F10">SWITCH($E$5,$G$1,F27,$G$2,F38,$G$3,F49,$G$4,F60)</f>
        <v>Target Revenue</v>
      </c>
      <c r="G10" s="20" t="str">
        <f t="array" ref="G10">SWITCH($E$5,$G$1,G27,$G$2,G38,$G$3,G49,$G$4,G60)</f>
        <v>Target Revenue</v>
      </c>
      <c r="H10" s="21" t="str">
        <f t="array" ref="H10">SWITCH($E$5,$G$1,H27,$G$2,H38,$G$3,H49,$G$4,H60)</f>
        <v>Target Revenue</v>
      </c>
      <c r="I10" s="19" t="str">
        <f t="array" ref="I10">SWITCH($E$5,$G$1,I27,$G$2,I38,$G$3,I49,$G$4,I60)</f>
        <v>Previous Year
Revenue</v>
      </c>
      <c r="J10" s="20" t="str">
        <f t="array" ref="J10">SWITCH($E$5,$G$1,J27,$G$2,J38,$G$3,J49,$G$4,J60)</f>
        <v>Previous Year
Revenue</v>
      </c>
      <c r="K10" s="21" t="str">
        <f t="array" ref="K10">SWITCH($E$5,$G$1,K27,$G$2,K38,$G$3,K49,$G$4,K60)</f>
        <v>Previous Year
Revenue</v>
      </c>
      <c r="L10" s="19" t="str">
        <f t="array" ref="L10">SWITCH($E$5,$G$1,L27,$G$2,L38,$G$3,L49,$G$4,L60)</f>
        <v>Number of
Customers</v>
      </c>
      <c r="M10" s="20" t="str">
        <f t="array" ref="M10">SWITCH($E$5,$G$1,M27,$G$2,M38,$G$3,M49,$G$4,M60)</f>
        <v>Number of
Customers</v>
      </c>
      <c r="N10" s="21" t="str">
        <f t="array" ref="N10">SWITCH($E$5,$G$1,N27,$G$2,N38,$G$3,N49,$G$4,N60)</f>
        <v>Number of
Customers</v>
      </c>
      <c r="O10" s="19" t="str">
        <f t="array" ref="O10">SWITCH($E$5,$G$1,O27,$G$2,O38,$G$3,O49,$G$4,O60)</f>
        <v>Number of
New Customers
Target</v>
      </c>
      <c r="P10" s="20" t="str">
        <f t="array" ref="P10">SWITCH($E$5,$G$1,P27,$G$2,P38,$G$3,P49,$G$4,P60)</f>
        <v>Number of
New Customers
Target</v>
      </c>
      <c r="Q10" s="21" t="str">
        <f t="array" ref="Q10">SWITCH($E$5,$G$1,Q27,$G$2,Q38,$G$3,Q49,$G$4,Q60)</f>
        <v>Number of
New Customers
Target</v>
      </c>
      <c r="R10" s="19" t="str">
        <f t="array" ref="R10">SWITCH($E$5,$G$1,R27,$G$2,R38,$G$3,R49,$G$4,R60)</f>
        <v>Number of
New Customers</v>
      </c>
      <c r="S10" s="20" t="str">
        <f t="array" ref="S10">SWITCH($E$5,$G$1,S27,$G$2,S38,$G$3,S49,$G$4,S60)</f>
        <v>Number of
New Customers</v>
      </c>
      <c r="T10" s="21" t="str">
        <f t="array" ref="T10">SWITCH($E$5,$G$1,T27,$G$2,T38,$G$3,T49,$G$4,T60)</f>
        <v>Number of
New Customers</v>
      </c>
      <c r="U10" s="19" t="str">
        <f t="array" ref="U10">SWITCH($E$5,$G$1,U27,$G$2,U38,$G$3,U49,$G$4,U60)</f>
        <v>Number of
New Customers
Previous Year</v>
      </c>
      <c r="V10" s="20" t="str">
        <f t="array" ref="V10">SWITCH($E$5,$G$1,V27,$G$2,V38,$G$3,V49,$G$4,V60)</f>
        <v>Number of
New Customers
Previous Year</v>
      </c>
      <c r="W10" s="21" t="str">
        <f t="array" ref="W10">SWITCH($E$5,$G$1,W27,$G$2,W38,$G$3,W49,$G$4,W60)</f>
        <v>Number of
New Customers
Previous Year</v>
      </c>
      <c r="X10" s="19" t="str">
        <f t="array" ref="X10">SWITCH($E$5,$G$1,X27,$G$2,X38,$G$3,X49,$G$4,X60)</f>
        <v>Customer Acquisition Costs</v>
      </c>
      <c r="Y10" s="20" t="str">
        <f t="array" ref="Y10">SWITCH($E$5,$G$1,Y27,$G$2,Y38,$G$3,Y49,$G$4,Y60)</f>
        <v>Customer Acquisition Costs</v>
      </c>
      <c r="Z10" s="21" t="str">
        <f t="array" ref="Z10">SWITCH($E$5,$G$1,Z27,$G$2,Z38,$G$3,Z49,$G$4,Z60)</f>
        <v>Customer Acquisition Costs</v>
      </c>
      <c r="AA10" s="19" t="str">
        <f t="array" ref="AA10">SWITCH($E$5,$G$1,AA27,$G$2,AA38,$G$3,AA49,$G$4,AA60)</f>
        <v>Customer AC (per customer)</v>
      </c>
      <c r="AB10" s="20" t="str">
        <f t="array" ref="AB10">SWITCH($E$5,$G$1,AB27,$G$2,AB38,$G$3,AB49,$G$4,AB60)</f>
        <v>Customer AC (per customer)</v>
      </c>
      <c r="AC10" s="21" t="str">
        <f t="array" ref="AC10">SWITCH($E$5,$G$1,AC27,$G$2,AC38,$G$3,AC49,$G$4,AC60)</f>
        <v>Customer AC (per customer)</v>
      </c>
      <c r="AD10" s="19" t="str">
        <f t="array" ref="AD10">SWITCH($E$5,$G$1,AD27,$G$2,AD38,$G$3,AD49,$G$4,AD60)</f>
        <v>Customer AC (per customer) Target</v>
      </c>
      <c r="AE10" s="20" t="str">
        <f t="array" ref="AE10">SWITCH($E$5,$G$1,AE27,$G$2,AE38,$G$3,AE49,$G$4,AE60)</f>
        <v>Customer AC (per customer) Target</v>
      </c>
      <c r="AF10" s="21" t="str">
        <f t="array" ref="AF10">SWITCH($E$5,$G$1,AF27,$G$2,AF38,$G$3,AF49,$G$4,AF60)</f>
        <v>Customer AC (per customer) Target</v>
      </c>
      <c r="AG10" s="19" t="str">
        <f t="array" ref="AG10">SWITCH($E$5,$G$1,AG27,$G$2,AG38,$G$3,AG49,$G$4,AG60)</f>
        <v>Customer Aquis. Costs (per customer) PY</v>
      </c>
      <c r="AH10" s="20" t="str">
        <f t="array" ref="AH10">SWITCH($E$5,$G$1,AH27,$G$2,AH38,$G$3,AH49,$G$4,AH60)</f>
        <v>Customer Aquis. Costs (per customer) PY</v>
      </c>
      <c r="AI10" s="21" t="str">
        <f t="array" ref="AI10">SWITCH($E$5,$G$1,AI27,$G$2,AI38,$G$3,AI49,$G$4,AI60)</f>
        <v>Customer Aquis. Costs (per customer) PY</v>
      </c>
      <c r="AJ10" s="19" t="str">
        <f t="array" ref="AJ10">SWITCH($E$5,$G$1,AJ27,$G$2,AJ38,$G$3,AJ49,$G$4,AJ60)</f>
        <v>Revenue per
Customer</v>
      </c>
      <c r="AK10" s="20" t="str">
        <f t="array" ref="AK10">SWITCH($E$5,$G$1,AK27,$G$2,AK38,$G$3,AK49,$G$4,AK60)</f>
        <v>Revenue per
Customer</v>
      </c>
      <c r="AL10" s="21" t="str">
        <f t="array" ref="AL10">SWITCH($E$5,$G$1,AL27,$G$2,AL38,$G$3,AL49,$G$4,AL60)</f>
        <v>Revenue per
Customer</v>
      </c>
      <c r="AM10" s="19" t="str">
        <f t="array" ref="AM10">SWITCH($E$5,$G$1,AM27,$G$2,AM38,$G$3,AM49,$G$4,AM60)</f>
        <v>Revenue per
Customer PY</v>
      </c>
      <c r="AN10" s="20" t="str">
        <f t="array" ref="AN10">SWITCH($E$5,$G$1,AN27,$G$2,AN38,$G$3,AN49,$G$4,AN60)</f>
        <v>Revenue per
Customer PY</v>
      </c>
      <c r="AO10" s="21" t="str">
        <f t="array" ref="AO10">SWITCH($E$5,$G$1,AO27,$G$2,AO38,$G$3,AO49,$G$4,AO60)</f>
        <v>Revenue per
Customer PY</v>
      </c>
      <c r="AP10" s="19" t="str">
        <f t="array" ref="AP10">SWITCH($E$5,$G$1,AP27,$G$2,AP38,$G$3,AP49,$G$4,AP60)</f>
        <v>Target Revenue
per Customer</v>
      </c>
      <c r="AQ10" s="20" t="str">
        <f t="array" ref="AQ10">SWITCH($E$5,$G$1,AQ27,$G$2,AQ38,$G$3,AQ49,$G$4,AQ60)</f>
        <v>Target Revenue
per Customer</v>
      </c>
      <c r="AR10" s="21" t="str">
        <f t="array" ref="AR10">SWITCH($E$5,$G$1,AR27,$G$2,AR38,$G$3,AR49,$G$4,AR60)</f>
        <v>Target Revenue
per Customer</v>
      </c>
    </row>
    <row r="11">
      <c r="A11" s="1"/>
      <c r="B11" s="23" t="s">
        <v>6</v>
      </c>
      <c r="C11" s="24">
        <f t="array" ref="C11">SWITCH($E$5, $G$1, C28, $G$2, C39, $G$3, C50, $G$4, C61)</f>
        <v>130000</v>
      </c>
      <c r="D11" s="25">
        <f t="array" ref="D11">SWITCH($E$5, $G$1, D28, $G$2, D39, $G$3, D50, $G$4, D61)</f>
        <v>135000</v>
      </c>
      <c r="E11" s="26">
        <f t="array" ref="E11">SWITCH($E$5, $G$1, E28, $G$2, E39, $G$3, E50, $G$4, E61)</f>
        <v>150000</v>
      </c>
      <c r="F11" s="24">
        <f t="array" ref="F11">SWITCH($E$5, $G$1, F28, $G$2, F39, $G$3, F50, $G$4, F61)</f>
        <v>150000</v>
      </c>
      <c r="G11" s="25">
        <f t="array" ref="G11">SWITCH($E$5, $G$1, G28, $G$2, G39, $G$3, G50, $G$4, G61)</f>
        <v>160000</v>
      </c>
      <c r="H11" s="26">
        <f t="array" ref="H11">SWITCH($E$5, $G$1, H28, $G$2, H39, $G$3, H50, $G$4, H61)</f>
        <v>140000</v>
      </c>
      <c r="I11" s="24">
        <f t="array" ref="I11">SWITCH($E$5, $G$1, I28, $G$2, I39, $G$3, I50, $G$4, I61)</f>
        <v>125000</v>
      </c>
      <c r="J11" s="25">
        <f t="array" ref="J11">SWITCH($E$5, $G$1, J28, $G$2, J39, $G$3, J50, $G$4, J61)</f>
        <v>160000</v>
      </c>
      <c r="K11" s="26">
        <f t="array" ref="K11">SWITCH($E$5, $G$1, K28, $G$2, K39, $G$3, K50, $G$4, K61)</f>
        <v>135000</v>
      </c>
      <c r="L11" s="27">
        <f t="array" ref="L11">SWITCH($E$5, $G$1, L28, $G$2, L39, $G$3, L50, $G$4, L61)</f>
        <v>58</v>
      </c>
      <c r="M11" s="28">
        <f t="array" ref="M11">SWITCH($E$5, $G$1, M28, $G$2, M39, $G$3, M50, $G$4, M61)</f>
        <v>63</v>
      </c>
      <c r="N11" s="29">
        <f t="array" ref="N11">SWITCH($E$5, $G$1, N28, $G$2, N39, $G$3, N50, $G$4, N61)</f>
        <v>55</v>
      </c>
      <c r="O11" s="27">
        <f t="array" ref="O11">SWITCH($E$5, $G$1, O28, $G$2, O39, $G$3, O50, $G$4, O61)</f>
        <v>30</v>
      </c>
      <c r="P11" s="28">
        <f t="array" ref="P11">SWITCH($E$5, $G$1, P28, $G$2, P39, $G$3, P50, $G$4, P61)</f>
        <v>30</v>
      </c>
      <c r="Q11" s="29">
        <f t="array" ref="Q11">SWITCH($E$5, $G$1, Q28, $G$2, Q39, $G$3, Q50, $G$4, Q61)</f>
        <v>25</v>
      </c>
      <c r="R11" s="27">
        <f t="array" ref="R11">SWITCH($E$5, $G$1, R28, $G$2, R39, $G$3, R50, $G$4, R61)</f>
        <v>12</v>
      </c>
      <c r="S11" s="28">
        <f t="array" ref="S11">SWITCH($E$5, $G$1, S28, $G$2, S39, $G$3, S50, $G$4, S61)</f>
        <v>25</v>
      </c>
      <c r="T11" s="29">
        <f t="array" ref="T11">SWITCH($E$5, $G$1, T28, $G$2, T39, $G$3, T50, $G$4, T61)</f>
        <v>11</v>
      </c>
      <c r="U11" s="27">
        <f t="array" ref="U11">SWITCH($E$5, $G$1, U28, $G$2, U39, $G$3, U50, $G$4, U61)</f>
        <v>11</v>
      </c>
      <c r="V11" s="28">
        <f t="array" ref="V11">SWITCH($E$5, $G$1, V28, $G$2, V39, $G$3, V50, $G$4, V61)</f>
        <v>21</v>
      </c>
      <c r="W11" s="29">
        <f t="array" ref="W11">SWITCH($E$5, $G$1, W28, $G$2, W39, $G$3, W50, $G$4, W61)</f>
        <v>14</v>
      </c>
      <c r="X11" s="24">
        <f t="array" ref="X11">SWITCH($E$5, $G$1, X28, $G$2, X39, $G$3, X50, $G$4, X61)</f>
        <v>5000</v>
      </c>
      <c r="Y11" s="25">
        <f t="array" ref="Y11">SWITCH($E$5, $G$1, Y28, $G$2, Y39, $G$3, Y50, $G$4, Y61)</f>
        <v>4500</v>
      </c>
      <c r="Z11" s="26">
        <f t="array" ref="Z11">SWITCH($E$5, $G$1, Z28, $G$2, Z39, $G$3, Z50, $G$4, Z61)</f>
        <v>5000</v>
      </c>
      <c r="AA11" s="24">
        <f t="array" ref="AA11">SWITCH($E$5, $G$1, AA28, $G$2, AA39, $G$3, AA50, $G$4, AA61)</f>
        <v>416.67</v>
      </c>
      <c r="AB11" s="25">
        <f t="array" ref="AB11">SWITCH($E$5, $G$1, AB28, $G$2, AB39, $G$3, AB50, $G$4, AB61)</f>
        <v>180</v>
      </c>
      <c r="AC11" s="26">
        <f t="array" ref="AC11">SWITCH($E$5, $G$1, AC28, $G$2, AC39, $G$3, AC50, $G$4, AC61)</f>
        <v>454.55</v>
      </c>
      <c r="AD11" s="24">
        <f t="array" ref="AD11">SWITCH($E$5, $G$1, AD28, $G$2, AD39, $G$3, AD50, $G$4, AD61)</f>
        <v>400</v>
      </c>
      <c r="AE11" s="25">
        <f t="array" ref="AE11">SWITCH($E$5, $G$1, AE28, $G$2, AE39, $G$3, AE50, $G$4, AE61)</f>
        <v>350</v>
      </c>
      <c r="AF11" s="26">
        <f t="array" ref="AF11">SWITCH($E$5, $G$1, AF28, $G$2, AF39, $G$3, AF50, $G$4, AF61)</f>
        <v>350</v>
      </c>
      <c r="AG11" s="24">
        <f t="array" ref="AG11">SWITCH($E$5, $G$1, AG28, $G$2, AG39, $G$3, AG50, $G$4, AG61)</f>
        <v>400</v>
      </c>
      <c r="AH11" s="25">
        <f t="array" ref="AH11">SWITCH($E$5, $G$1, AH28, $G$2, AH39, $G$3, AH50, $G$4, AH61)</f>
        <v>385</v>
      </c>
      <c r="AI11" s="26">
        <f t="array" ref="AI11">SWITCH($E$5, $G$1, AI28, $G$2, AI39, $G$3, AI50, $G$4, AI61)</f>
        <v>390</v>
      </c>
      <c r="AJ11" s="24">
        <f t="array" ref="AJ11">SWITCH($E$5, $G$1, AJ28, $G$2, AJ39, $G$3, AJ50, $G$4, AJ61)</f>
        <v>2068.97</v>
      </c>
      <c r="AK11" s="25">
        <f t="array" ref="AK11">SWITCH($E$5, $G$1, AK28, $G$2, AK39, $G$3, AK50, $G$4, AK61)</f>
        <v>2142.86</v>
      </c>
      <c r="AL11" s="26">
        <f t="array" ref="AL11">SWITCH($E$5, $G$1, AL28, $G$2, AL39, $G$3, AL50, $G$4, AL61)</f>
        <v>2727.27</v>
      </c>
      <c r="AM11" s="24">
        <f t="array" ref="AM11">SWITCH($E$5, $G$1, AM28, $G$2, AM39, $G$3, AM50, $G$4, AM61)</f>
        <v>2100</v>
      </c>
      <c r="AN11" s="25">
        <f t="array" ref="AN11">SWITCH($E$5, $G$1, AN28, $G$2, AN39, $G$3, AN50, $G$4, AN61)</f>
        <v>2000</v>
      </c>
      <c r="AO11" s="26">
        <f t="array" ref="AO11">SWITCH($E$5, $G$1, AO28, $G$2, AO39, $G$3, AO50, $G$4, AO61)</f>
        <v>2600</v>
      </c>
      <c r="AP11" s="24">
        <f t="array" ref="AP11">SWITCH($E$5, $G$1, AP28, $G$2, AP39, $G$3, AP50, $G$4, AP61)</f>
        <v>2700</v>
      </c>
      <c r="AQ11" s="25">
        <f t="array" ref="AQ11">SWITCH($E$5, $G$1, AQ28, $G$2, AQ39, $G$3, AQ50, $G$4, AQ61)</f>
        <v>2500</v>
      </c>
      <c r="AR11" s="26">
        <f t="array" ref="AR11">SWITCH($E$5, $G$1, AR28, $G$2, AR39, $G$3, AR50, $G$4, AR61)</f>
        <v>2600</v>
      </c>
    </row>
    <row r="12">
      <c r="A12" s="1"/>
      <c r="B12" s="23" t="s">
        <v>7</v>
      </c>
      <c r="C12" s="24">
        <f t="array" ref="C12">SWITCH($E$5, $G$1, C29, $G$2, C40, $G$3, C51, $G$4, C62)</f>
        <v>175000</v>
      </c>
      <c r="D12" s="25">
        <f t="array" ref="D12">SWITCH($E$5, $G$1, D29, $G$2, D40, $G$3, D51, $G$4, D62)</f>
        <v>155000</v>
      </c>
      <c r="E12" s="26">
        <f t="array" ref="E12">SWITCH($E$5, $G$1, E29, $G$2, E40, $G$3, E51, $G$4, E62)</f>
        <v>190000</v>
      </c>
      <c r="F12" s="24">
        <f t="array" ref="F12">SWITCH($E$5, $G$1, F29, $G$2, F40, $G$3, F51, $G$4, F62)</f>
        <v>150000</v>
      </c>
      <c r="G12" s="25">
        <f t="array" ref="G12">SWITCH($E$5, $G$1, G29, $G$2, G40, $G$3, G51, $G$4, G62)</f>
        <v>160000</v>
      </c>
      <c r="H12" s="26">
        <f t="array" ref="H12">SWITCH($E$5, $G$1, H29, $G$2, H40, $G$3, H51, $G$4, H62)</f>
        <v>140000</v>
      </c>
      <c r="I12" s="24">
        <f t="array" ref="I12">SWITCH($E$5, $G$1, I29, $G$2, I40, $G$3, I51, $G$4, I62)</f>
        <v>145000</v>
      </c>
      <c r="J12" s="25">
        <f t="array" ref="J12">SWITCH($E$5, $G$1, J29, $G$2, J40, $G$3, J51, $G$4, J62)</f>
        <v>125000</v>
      </c>
      <c r="K12" s="26">
        <f t="array" ref="K12">SWITCH($E$5, $G$1, K29, $G$2, K40, $G$3, K51, $G$4, K62)</f>
        <v>125000</v>
      </c>
      <c r="L12" s="27">
        <f t="array" ref="L12">SWITCH($E$5, $G$1, L29, $G$2, L40, $G$3, L51, $G$4, L62)</f>
        <v>70</v>
      </c>
      <c r="M12" s="28">
        <f t="array" ref="M12">SWITCH($E$5, $G$1, M29, $G$2, M40, $G$3, M51, $G$4, M62)</f>
        <v>74</v>
      </c>
      <c r="N12" s="29">
        <f t="array" ref="N12">SWITCH($E$5, $G$1, N29, $G$2, N40, $G$3, N51, $G$4, N62)</f>
        <v>65</v>
      </c>
      <c r="O12" s="27">
        <f t="array" ref="O12">SWITCH($E$5, $G$1, O29, $G$2, O40, $G$3, O51, $G$4, O62)</f>
        <v>30</v>
      </c>
      <c r="P12" s="28">
        <f t="array" ref="P12">SWITCH($E$5, $G$1, P29, $G$2, P40, $G$3, P51, $G$4, P62)</f>
        <v>30</v>
      </c>
      <c r="Q12" s="29">
        <f t="array" ref="Q12">SWITCH($E$5, $G$1, Q29, $G$2, Q40, $G$3, Q51, $G$4, Q62)</f>
        <v>25</v>
      </c>
      <c r="R12" s="27">
        <f t="array" ref="R12">SWITCH($E$5, $G$1, R29, $G$2, R40, $G$3, R51, $G$4, R62)</f>
        <v>26</v>
      </c>
      <c r="S12" s="28">
        <f t="array" ref="S12">SWITCH($E$5, $G$1, S29, $G$2, S40, $G$3, S51, $G$4, S62)</f>
        <v>18</v>
      </c>
      <c r="T12" s="29">
        <f t="array" ref="T12">SWITCH($E$5, $G$1, T29, $G$2, T40, $G$3, T51, $G$4, T62)</f>
        <v>23</v>
      </c>
      <c r="U12" s="27">
        <f t="array" ref="U12">SWITCH($E$5, $G$1, U29, $G$2, U40, $G$3, U51, $G$4, U62)</f>
        <v>17</v>
      </c>
      <c r="V12" s="28">
        <f t="array" ref="V12">SWITCH($E$5, $G$1, V29, $G$2, V40, $G$3, V51, $G$4, V62)</f>
        <v>18</v>
      </c>
      <c r="W12" s="29">
        <f t="array" ref="W12">SWITCH($E$5, $G$1, W29, $G$2, W40, $G$3, W51, $G$4, W62)</f>
        <v>15</v>
      </c>
      <c r="X12" s="24">
        <f t="array" ref="X12">SWITCH($E$5, $G$1, X29, $G$2, X40, $G$3, X51, $G$4, X62)</f>
        <v>9800</v>
      </c>
      <c r="Y12" s="25">
        <f t="array" ref="Y12">SWITCH($E$5, $G$1, Y29, $G$2, Y40, $G$3, Y51, $G$4, Y62)</f>
        <v>9800</v>
      </c>
      <c r="Z12" s="26">
        <f t="array" ref="Z12">SWITCH($E$5, $G$1, Z29, $G$2, Z40, $G$3, Z51, $G$4, Z62)</f>
        <v>6500</v>
      </c>
      <c r="AA12" s="24">
        <f t="array" ref="AA12">SWITCH($E$5, $G$1, AA29, $G$2, AA40, $G$3, AA51, $G$4, AA62)</f>
        <v>376.92</v>
      </c>
      <c r="AB12" s="25">
        <f t="array" ref="AB12">SWITCH($E$5, $G$1, AB29, $G$2, AB40, $G$3, AB51, $G$4, AB62)</f>
        <v>544.44</v>
      </c>
      <c r="AC12" s="26">
        <f t="array" ref="AC12">SWITCH($E$5, $G$1, AC29, $G$2, AC40, $G$3, AC51, $G$4, AC62)</f>
        <v>282.61</v>
      </c>
      <c r="AD12" s="24">
        <f t="array" ref="AD12">SWITCH($E$5, $G$1, AD29, $G$2, AD40, $G$3, AD51, $G$4, AD62)</f>
        <v>400</v>
      </c>
      <c r="AE12" s="25">
        <f t="array" ref="AE12">SWITCH($E$5, $G$1, AE29, $G$2, AE40, $G$3, AE51, $G$4, AE62)</f>
        <v>350</v>
      </c>
      <c r="AF12" s="26">
        <f t="array" ref="AF12">SWITCH($E$5, $G$1, AF29, $G$2, AF40, $G$3, AF51, $G$4, AF62)</f>
        <v>350</v>
      </c>
      <c r="AG12" s="24">
        <f t="array" ref="AG12">SWITCH($E$5, $G$1, AG29, $G$2, AG40, $G$3, AG51, $G$4, AG62)</f>
        <v>402</v>
      </c>
      <c r="AH12" s="25">
        <f t="array" ref="AH12">SWITCH($E$5, $G$1, AH29, $G$2, AH40, $G$3, AH51, $G$4, AH62)</f>
        <v>290</v>
      </c>
      <c r="AI12" s="26">
        <f t="array" ref="AI12">SWITCH($E$5, $G$1, AI29, $G$2, AI40, $G$3, AI51, $G$4, AI62)</f>
        <v>380</v>
      </c>
      <c r="AJ12" s="24">
        <f t="array" ref="AJ12">SWITCH($E$5, $G$1, AJ29, $G$2, AJ40, $G$3, AJ51, $G$4, AJ62)</f>
        <v>2500</v>
      </c>
      <c r="AK12" s="25">
        <f t="array" ref="AK12">SWITCH($E$5, $G$1, AK29, $G$2, AK40, $G$3, AK51, $G$4, AK62)</f>
        <v>2094.59</v>
      </c>
      <c r="AL12" s="26">
        <f t="array" ref="AL12">SWITCH($E$5, $G$1, AL29, $G$2, AL40, $G$3, AL51, $G$4, AL62)</f>
        <v>2923.08</v>
      </c>
      <c r="AM12" s="24">
        <f t="array" ref="AM12">SWITCH($E$5, $G$1, AM29, $G$2, AM40, $G$3, AM51, $G$4, AM62)</f>
        <v>2200</v>
      </c>
      <c r="AN12" s="25">
        <f t="array" ref="AN12">SWITCH($E$5, $G$1, AN29, $G$2, AN40, $G$3, AN51, $G$4, AN62)</f>
        <v>2000</v>
      </c>
      <c r="AO12" s="26">
        <f t="array" ref="AO12">SWITCH($E$5, $G$1, AO29, $G$2, AO40, $G$3, AO51, $G$4, AO62)</f>
        <v>2200</v>
      </c>
      <c r="AP12" s="24">
        <f t="array" ref="AP12">SWITCH($E$5, $G$1, AP29, $G$2, AP40, $G$3, AP51, $G$4, AP62)</f>
        <v>2700</v>
      </c>
      <c r="AQ12" s="25">
        <f t="array" ref="AQ12">SWITCH($E$5, $G$1, AQ29, $G$2, AQ40, $G$3, AQ51, $G$4, AQ62)</f>
        <v>2500</v>
      </c>
      <c r="AR12" s="26">
        <f t="array" ref="AR12">SWITCH($E$5, $G$1, AR29, $G$2, AR40, $G$3, AR51, $G$4, AR62)</f>
        <v>2600</v>
      </c>
    </row>
    <row r="13">
      <c r="A13" s="1"/>
      <c r="B13" s="23" t="s">
        <v>8</v>
      </c>
      <c r="C13" s="24">
        <f t="array" ref="C13">SWITCH($E$5, $G$1, C30, $G$2, C41, $G$3, C52, $G$4, C63)</f>
        <v>180000</v>
      </c>
      <c r="D13" s="25">
        <f t="array" ref="D13">SWITCH($E$5, $G$1, D30, $G$2, D41, $G$3, D52, $G$4, D63)</f>
        <v>145000</v>
      </c>
      <c r="E13" s="26">
        <f t="array" ref="E13">SWITCH($E$5, $G$1, E30, $G$2, E41, $G$3, E52, $G$4, E63)</f>
        <v>155000</v>
      </c>
      <c r="F13" s="24">
        <f t="array" ref="F13">SWITCH($E$5, $G$1, F30, $G$2, F41, $G$3, F52, $G$4, F63)</f>
        <v>150000</v>
      </c>
      <c r="G13" s="25">
        <f t="array" ref="G13">SWITCH($E$5, $G$1, G30, $G$2, G41, $G$3, G52, $G$4, G63)</f>
        <v>160000</v>
      </c>
      <c r="H13" s="26">
        <f t="array" ref="H13">SWITCH($E$5, $G$1, H30, $G$2, H41, $G$3, H52, $G$4, H63)</f>
        <v>140000</v>
      </c>
      <c r="I13" s="24">
        <f t="array" ref="I13">SWITCH($E$5, $G$1, I30, $G$2, I41, $G$3, I52, $G$4, I63)</f>
        <v>155000</v>
      </c>
      <c r="J13" s="25">
        <f t="array" ref="J13">SWITCH($E$5, $G$1, J30, $G$2, J41, $G$3, J52, $G$4, J63)</f>
        <v>130000</v>
      </c>
      <c r="K13" s="26">
        <f t="array" ref="K13">SWITCH($E$5, $G$1, K30, $G$2, K41, $G$3, K52, $G$4, K63)</f>
        <v>125000</v>
      </c>
      <c r="L13" s="27">
        <f t="array" ref="L13">SWITCH($E$5, $G$1, L30, $G$2, L41, $G$3, L52, $G$4, L63)</f>
        <v>55</v>
      </c>
      <c r="M13" s="28">
        <f t="array" ref="M13">SWITCH($E$5, $G$1, M30, $G$2, M41, $G$3, M52, $G$4, M63)</f>
        <v>61</v>
      </c>
      <c r="N13" s="29">
        <f t="array" ref="N13">SWITCH($E$5, $G$1, N30, $G$2, N41, $G$3, N52, $G$4, N63)</f>
        <v>44</v>
      </c>
      <c r="O13" s="27">
        <f t="array" ref="O13">SWITCH($E$5, $G$1, O30, $G$2, O41, $G$3, O52, $G$4, O63)</f>
        <v>30</v>
      </c>
      <c r="P13" s="28">
        <f t="array" ref="P13">SWITCH($E$5, $G$1, P30, $G$2, P41, $G$3, P52, $G$4, P63)</f>
        <v>30</v>
      </c>
      <c r="Q13" s="29">
        <f t="array" ref="Q13">SWITCH($E$5, $G$1, Q30, $G$2, Q41, $G$3, Q52, $G$4, Q63)</f>
        <v>25</v>
      </c>
      <c r="R13" s="27">
        <f t="array" ref="R13">SWITCH($E$5, $G$1, R30, $G$2, R41, $G$3, R52, $G$4, R63)</f>
        <v>31</v>
      </c>
      <c r="S13" s="28">
        <f t="array" ref="S13">SWITCH($E$5, $G$1, S30, $G$2, S41, $G$3, S52, $G$4, S63)</f>
        <v>25</v>
      </c>
      <c r="T13" s="29">
        <f t="array" ref="T13">SWITCH($E$5, $G$1, T30, $G$2, T41, $G$3, T52, $G$4, T63)</f>
        <v>20</v>
      </c>
      <c r="U13" s="27">
        <f t="array" ref="U13">SWITCH($E$5, $G$1, U30, $G$2, U41, $G$3, U52, $G$4, U63)</f>
        <v>25</v>
      </c>
      <c r="V13" s="28">
        <f t="array" ref="V13">SWITCH($E$5, $G$1, V30, $G$2, V41, $G$3, V52, $G$4, V63)</f>
        <v>21</v>
      </c>
      <c r="W13" s="29">
        <f t="array" ref="W13">SWITCH($E$5, $G$1, W30, $G$2, W41, $G$3, W52, $G$4, W63)</f>
        <v>22</v>
      </c>
      <c r="X13" s="24">
        <f t="array" ref="X13">SWITCH($E$5, $G$1, X30, $G$2, X41, $G$3, X52, $G$4, X63)</f>
        <v>9500</v>
      </c>
      <c r="Y13" s="25">
        <f t="array" ref="Y13">SWITCH($E$5, $G$1, Y30, $G$2, Y41, $G$3, Y52, $G$4, Y63)</f>
        <v>10200</v>
      </c>
      <c r="Z13" s="26">
        <f t="array" ref="Z13">SWITCH($E$5, $G$1, Z30, $G$2, Z41, $G$3, Z52, $G$4, Z63)</f>
        <v>8000</v>
      </c>
      <c r="AA13" s="24">
        <f t="array" ref="AA13">SWITCH($E$5, $G$1, AA30, $G$2, AA41, $G$3, AA52, $G$4, AA63)</f>
        <v>306.45</v>
      </c>
      <c r="AB13" s="25">
        <f t="array" ref="AB13">SWITCH($E$5, $G$1, AB30, $G$2, AB41, $G$3, AB52, $G$4, AB63)</f>
        <v>408</v>
      </c>
      <c r="AC13" s="26">
        <f t="array" ref="AC13">SWITCH($E$5, $G$1, AC30, $G$2, AC41, $G$3, AC52, $G$4, AC63)</f>
        <v>400</v>
      </c>
      <c r="AD13" s="24">
        <f t="array" ref="AD13">SWITCH($E$5, $G$1, AD30, $G$2, AD41, $G$3, AD52, $G$4, AD63)</f>
        <v>400</v>
      </c>
      <c r="AE13" s="25">
        <f t="array" ref="AE13">SWITCH($E$5, $G$1, AE30, $G$2, AE41, $G$3, AE52, $G$4, AE63)</f>
        <v>350</v>
      </c>
      <c r="AF13" s="26">
        <f t="array" ref="AF13">SWITCH($E$5, $G$1, AF30, $G$2, AF41, $G$3, AF52, $G$4, AF63)</f>
        <v>350</v>
      </c>
      <c r="AG13" s="24">
        <f t="array" ref="AG13">SWITCH($E$5, $G$1, AG30, $G$2, AG41, $G$3, AG52, $G$4, AG63)</f>
        <v>350</v>
      </c>
      <c r="AH13" s="25">
        <f t="array" ref="AH13">SWITCH($E$5, $G$1, AH30, $G$2, AH41, $G$3, AH52, $G$4, AH63)</f>
        <v>385</v>
      </c>
      <c r="AI13" s="26">
        <f t="array" ref="AI13">SWITCH($E$5, $G$1, AI30, $G$2, AI41, $G$3, AI52, $G$4, AI63)</f>
        <v>352</v>
      </c>
      <c r="AJ13" s="24">
        <f t="array" ref="AJ13">SWITCH($E$5, $G$1, AJ30, $G$2, AJ41, $G$3, AJ52, $G$4, AJ63)</f>
        <v>3272.73</v>
      </c>
      <c r="AK13" s="25">
        <f t="array" ref="AK13">SWITCH($E$5, $G$1, AK30, $G$2, AK41, $G$3, AK52, $G$4, AK63)</f>
        <v>2377.05</v>
      </c>
      <c r="AL13" s="26">
        <f t="array" ref="AL13">SWITCH($E$5, $G$1, AL30, $G$2, AL41, $G$3, AL52, $G$4, AL63)</f>
        <v>3522.73</v>
      </c>
      <c r="AM13" s="24">
        <f t="array" ref="AM13">SWITCH($E$5, $G$1, AM30, $G$2, AM41, $G$3, AM52, $G$4, AM63)</f>
        <v>3000</v>
      </c>
      <c r="AN13" s="25">
        <f t="array" ref="AN13">SWITCH($E$5, $G$1, AN30, $G$2, AN41, $G$3, AN52, $G$4, AN63)</f>
        <v>2200</v>
      </c>
      <c r="AO13" s="26">
        <f t="array" ref="AO13">SWITCH($E$5, $G$1, AO30, $G$2, AO41, $G$3, AO52, $G$4, AO63)</f>
        <v>2100</v>
      </c>
      <c r="AP13" s="24">
        <f t="array" ref="AP13">SWITCH($E$5, $G$1, AP30, $G$2, AP41, $G$3, AP52, $G$4, AP63)</f>
        <v>2700</v>
      </c>
      <c r="AQ13" s="25">
        <f t="array" ref="AQ13">SWITCH($E$5, $G$1, AQ30, $G$2, AQ41, $G$3, AQ52, $G$4, AQ63)</f>
        <v>2500</v>
      </c>
      <c r="AR13" s="26">
        <f t="array" ref="AR13">SWITCH($E$5, $G$1, AR30, $G$2, AR41, $G$3, AR52, $G$4, AR63)</f>
        <v>2600</v>
      </c>
    </row>
    <row r="14">
      <c r="A14" s="1"/>
      <c r="B14" s="23" t="s">
        <v>9</v>
      </c>
      <c r="C14" s="24">
        <f t="array" ref="C14">SWITCH($E$5, $G$1, C31, $G$2, C42, $G$3, C53, $G$4, C64)</f>
        <v>160000</v>
      </c>
      <c r="D14" s="25">
        <f t="array" ref="D14">SWITCH($E$5, $G$1, D31, $G$2, D42, $G$3, D53, $G$4, D64)</f>
        <v>180000</v>
      </c>
      <c r="E14" s="26">
        <f t="array" ref="E14">SWITCH($E$5, $G$1, E31, $G$2, E42, $G$3, E53, $G$4, E64)</f>
        <v>175000</v>
      </c>
      <c r="F14" s="24">
        <f t="array" ref="F14">SWITCH($E$5, $G$1, F31, $G$2, F42, $G$3, F53, $G$4, F64)</f>
        <v>150000</v>
      </c>
      <c r="G14" s="25">
        <f t="array" ref="G14">SWITCH($E$5, $G$1, G31, $G$2, G42, $G$3, G53, $G$4, G64)</f>
        <v>160000</v>
      </c>
      <c r="H14" s="26">
        <f t="array" ref="H14">SWITCH($E$5, $G$1, H31, $G$2, H42, $G$3, H53, $G$4, H64)</f>
        <v>140000</v>
      </c>
      <c r="I14" s="24">
        <f t="array" ref="I14">SWITCH($E$5, $G$1, I31, $G$2, I42, $G$3, I53, $G$4, I64)</f>
        <v>145000</v>
      </c>
      <c r="J14" s="25">
        <f t="array" ref="J14">SWITCH($E$5, $G$1, J31, $G$2, J42, $G$3, J53, $G$4, J64)</f>
        <v>140000</v>
      </c>
      <c r="K14" s="26">
        <f t="array" ref="K14">SWITCH($E$5, $G$1, K31, $G$2, K42, $G$3, K53, $G$4, K64)</f>
        <v>160000</v>
      </c>
      <c r="L14" s="27">
        <f t="array" ref="L14">SWITCH($E$5, $G$1, L31, $G$2, L42, $G$3, L53, $G$4, L64)</f>
        <v>68</v>
      </c>
      <c r="M14" s="28">
        <f t="array" ref="M14">SWITCH($E$5, $G$1, M31, $G$2, M42, $G$3, M53, $G$4, M64)</f>
        <v>63</v>
      </c>
      <c r="N14" s="29">
        <f t="array" ref="N14">SWITCH($E$5, $G$1, N31, $G$2, N42, $G$3, N53, $G$4, N64)</f>
        <v>50</v>
      </c>
      <c r="O14" s="27">
        <f t="array" ref="O14">SWITCH($E$5, $G$1, O31, $G$2, O42, $G$3, O53, $G$4, O64)</f>
        <v>30</v>
      </c>
      <c r="P14" s="28">
        <f t="array" ref="P14">SWITCH($E$5, $G$1, P31, $G$2, P42, $G$3, P53, $G$4, P64)</f>
        <v>30</v>
      </c>
      <c r="Q14" s="29">
        <f t="array" ref="Q14">SWITCH($E$5, $G$1, Q31, $G$2, Q42, $G$3, Q53, $G$4, Q64)</f>
        <v>25</v>
      </c>
      <c r="R14" s="27">
        <f t="array" ref="R14">SWITCH($E$5, $G$1, R31, $G$2, R42, $G$3, R53, $G$4, R64)</f>
        <v>28</v>
      </c>
      <c r="S14" s="28">
        <f t="array" ref="S14">SWITCH($E$5, $G$1, S31, $G$2, S42, $G$3, S53, $G$4, S64)</f>
        <v>15</v>
      </c>
      <c r="T14" s="29">
        <f t="array" ref="T14">SWITCH($E$5, $G$1, T31, $G$2, T42, $G$3, T53, $G$4, T64)</f>
        <v>14</v>
      </c>
      <c r="U14" s="27">
        <f t="array" ref="U14">SWITCH($E$5, $G$1, U31, $G$2, U42, $G$3, U53, $G$4, U64)</f>
        <v>17</v>
      </c>
      <c r="V14" s="28">
        <f t="array" ref="V14">SWITCH($E$5, $G$1, V31, $G$2, V42, $G$3, V53, $G$4, V64)</f>
        <v>18</v>
      </c>
      <c r="W14" s="29">
        <f t="array" ref="W14">SWITCH($E$5, $G$1, W31, $G$2, W42, $G$3, W53, $G$4, W64)</f>
        <v>21</v>
      </c>
      <c r="X14" s="24">
        <f t="array" ref="X14">SWITCH($E$5, $G$1, X31, $G$2, X42, $G$3, X53, $G$4, X64)</f>
        <v>9000</v>
      </c>
      <c r="Y14" s="25">
        <f t="array" ref="Y14">SWITCH($E$5, $G$1, Y31, $G$2, Y42, $G$3, Y53, $G$4, Y64)</f>
        <v>5600</v>
      </c>
      <c r="Z14" s="26">
        <f t="array" ref="Z14">SWITCH($E$5, $G$1, Z31, $G$2, Z42, $G$3, Z53, $G$4, Z64)</f>
        <v>7000</v>
      </c>
      <c r="AA14" s="24">
        <f t="array" ref="AA14">SWITCH($E$5, $G$1, AA31, $G$2, AA42, $G$3, AA53, $G$4, AA64)</f>
        <v>321.43</v>
      </c>
      <c r="AB14" s="25">
        <f t="array" ref="AB14">SWITCH($E$5, $G$1, AB31, $G$2, AB42, $G$3, AB53, $G$4, AB64)</f>
        <v>373.33</v>
      </c>
      <c r="AC14" s="26">
        <f t="array" ref="AC14">SWITCH($E$5, $G$1, AC31, $G$2, AC42, $G$3, AC53, $G$4, AC64)</f>
        <v>500</v>
      </c>
      <c r="AD14" s="24">
        <f t="array" ref="AD14">SWITCH($E$5, $G$1, AD31, $G$2, AD42, $G$3, AD53, $G$4, AD64)</f>
        <v>400</v>
      </c>
      <c r="AE14" s="25">
        <f t="array" ref="AE14">SWITCH($E$5, $G$1, AE31, $G$2, AE42, $G$3, AE53, $G$4, AE64)</f>
        <v>350</v>
      </c>
      <c r="AF14" s="26">
        <f t="array" ref="AF14">SWITCH($E$5, $G$1, AF31, $G$2, AF42, $G$3, AF53, $G$4, AF64)</f>
        <v>350</v>
      </c>
      <c r="AG14" s="24">
        <f t="array" ref="AG14">SWITCH($E$5, $G$1, AG31, $G$2, AG42, $G$3, AG53, $G$4, AG64)</f>
        <v>350</v>
      </c>
      <c r="AH14" s="25">
        <f t="array" ref="AH14">SWITCH($E$5, $G$1, AH31, $G$2, AH42, $G$3, AH53, $G$4, AH64)</f>
        <v>360</v>
      </c>
      <c r="AI14" s="26">
        <f t="array" ref="AI14">SWITCH($E$5, $G$1, AI31, $G$2, AI42, $G$3, AI53, $G$4, AI64)</f>
        <v>388</v>
      </c>
      <c r="AJ14" s="24">
        <f t="array" ref="AJ14">SWITCH($E$5, $G$1, AJ31, $G$2, AJ42, $G$3, AJ53, $G$4, AJ64)</f>
        <v>2352.94</v>
      </c>
      <c r="AK14" s="25">
        <f t="array" ref="AK14">SWITCH($E$5, $G$1, AK31, $G$2, AK42, $G$3, AK53, $G$4, AK64)</f>
        <v>2857.14</v>
      </c>
      <c r="AL14" s="26">
        <f t="array" ref="AL14">SWITCH($E$5, $G$1, AL31, $G$2, AL42, $G$3, AL53, $G$4, AL64)</f>
        <v>3500</v>
      </c>
      <c r="AM14" s="24">
        <f t="array" ref="AM14">SWITCH($E$5, $G$1, AM31, $G$2, AM42, $G$3, AM53, $G$4, AM64)</f>
        <v>2200</v>
      </c>
      <c r="AN14" s="25">
        <f t="array" ref="AN14">SWITCH($E$5, $G$1, AN31, $G$2, AN42, $G$3, AN53, $G$4, AN64)</f>
        <v>2450</v>
      </c>
      <c r="AO14" s="26">
        <f t="array" ref="AO14">SWITCH($E$5, $G$1, AO31, $G$2, AO42, $G$3, AO53, $G$4, AO64)</f>
        <v>3300</v>
      </c>
      <c r="AP14" s="24">
        <f t="array" ref="AP14">SWITCH($E$5, $G$1, AP31, $G$2, AP42, $G$3, AP53, $G$4, AP64)</f>
        <v>2700</v>
      </c>
      <c r="AQ14" s="25">
        <f t="array" ref="AQ14">SWITCH($E$5, $G$1, AQ31, $G$2, AQ42, $G$3, AQ53, $G$4, AQ64)</f>
        <v>2500</v>
      </c>
      <c r="AR14" s="26">
        <f t="array" ref="AR14">SWITCH($E$5, $G$1, AR31, $G$2, AR42, $G$3, AR53, $G$4, AR64)</f>
        <v>2600</v>
      </c>
    </row>
    <row r="15">
      <c r="A15" s="1"/>
      <c r="B15" s="23" t="s">
        <v>10</v>
      </c>
      <c r="C15" s="24">
        <f t="array" ref="C15">SWITCH($E$5, $G$1, C32, $G$2, C43, $G$3, C54, $G$4, C65)</f>
        <v>205000</v>
      </c>
      <c r="D15" s="25">
        <f t="array" ref="D15">SWITCH($E$5, $G$1, D32, $G$2, D43, $G$3, D54, $G$4, D65)</f>
        <v>195000</v>
      </c>
      <c r="E15" s="26">
        <f t="array" ref="E15">SWITCH($E$5, $G$1, E32, $G$2, E43, $G$3, E54, $G$4, E65)</f>
        <v>125000</v>
      </c>
      <c r="F15" s="24">
        <f t="array" ref="F15">SWITCH($E$5, $G$1, F32, $G$2, F43, $G$3, F54, $G$4, F65)</f>
        <v>150000</v>
      </c>
      <c r="G15" s="25">
        <f t="array" ref="G15">SWITCH($E$5, $G$1, G32, $G$2, G43, $G$3, G54, $G$4, G65)</f>
        <v>160000</v>
      </c>
      <c r="H15" s="26">
        <f t="array" ref="H15">SWITCH($E$5, $G$1, H32, $G$2, H43, $G$3, H54, $G$4, H65)</f>
        <v>140000</v>
      </c>
      <c r="I15" s="24">
        <f t="array" ref="I15">SWITCH($E$5, $G$1, I32, $G$2, I43, $G$3, I54, $G$4, I65)</f>
        <v>125000</v>
      </c>
      <c r="J15" s="25">
        <f t="array" ref="J15">SWITCH($E$5, $G$1, J32, $G$2, J43, $G$3, J54, $G$4, J65)</f>
        <v>150000</v>
      </c>
      <c r="K15" s="26">
        <f t="array" ref="K15">SWITCH($E$5, $G$1, K32, $G$2, K43, $G$3, K54, $G$4, K65)</f>
        <v>145000</v>
      </c>
      <c r="L15" s="27">
        <f t="array" ref="L15">SWITCH($E$5, $G$1, L32, $G$2, L43, $G$3, L54, $G$4, L65)</f>
        <v>62</v>
      </c>
      <c r="M15" s="28">
        <f t="array" ref="M15">SWITCH($E$5, $G$1, M32, $G$2, M43, $G$3, M54, $G$4, M65)</f>
        <v>51</v>
      </c>
      <c r="N15" s="29">
        <f t="array" ref="N15">SWITCH($E$5, $G$1, N32, $G$2, N43, $G$3, N54, $G$4, N65)</f>
        <v>35</v>
      </c>
      <c r="O15" s="27">
        <f t="array" ref="O15">SWITCH($E$5, $G$1, O32, $G$2, O43, $G$3, O54, $G$4, O65)</f>
        <v>30</v>
      </c>
      <c r="P15" s="28">
        <f t="array" ref="P15">SWITCH($E$5, $G$1, P32, $G$2, P43, $G$3, P54, $G$4, P65)</f>
        <v>30</v>
      </c>
      <c r="Q15" s="29">
        <f t="array" ref="Q15">SWITCH($E$5, $G$1, Q32, $G$2, Q43, $G$3, Q54, $G$4, Q65)</f>
        <v>25</v>
      </c>
      <c r="R15" s="27">
        <f t="array" ref="R15">SWITCH($E$5, $G$1, R32, $G$2, R43, $G$3, R54, $G$4, R65)</f>
        <v>25</v>
      </c>
      <c r="S15" s="28">
        <f t="array" ref="S15">SWITCH($E$5, $G$1, S32, $G$2, S43, $G$3, S54, $G$4, S65)</f>
        <v>18</v>
      </c>
      <c r="T15" s="29">
        <f t="array" ref="T15">SWITCH($E$5, $G$1, T32, $G$2, T43, $G$3, T54, $G$4, T65)</f>
        <v>20</v>
      </c>
      <c r="U15" s="27">
        <f t="array" ref="U15">SWITCH($E$5, $G$1, U32, $G$2, U43, $G$3, U54, $G$4, U65)</f>
        <v>20</v>
      </c>
      <c r="V15" s="28">
        <f t="array" ref="V15">SWITCH($E$5, $G$1, V32, $G$2, V43, $G$3, V54, $G$4, V65)</f>
        <v>13</v>
      </c>
      <c r="W15" s="29">
        <f t="array" ref="W15">SWITCH($E$5, $G$1, W32, $G$2, W43, $G$3, W54, $G$4, W65)</f>
        <v>20</v>
      </c>
      <c r="X15" s="24">
        <f t="array" ref="X15">SWITCH($E$5, $G$1, X32, $G$2, X43, $G$3, X54, $G$4, X65)</f>
        <v>10800</v>
      </c>
      <c r="Y15" s="25">
        <f t="array" ref="Y15">SWITCH($E$5, $G$1, Y32, $G$2, Y43, $G$3, Y54, $G$4, Y65)</f>
        <v>9500</v>
      </c>
      <c r="Z15" s="26">
        <f t="array" ref="Z15">SWITCH($E$5, $G$1, Z32, $G$2, Z43, $G$3, Z54, $G$4, Z65)</f>
        <v>9000</v>
      </c>
      <c r="AA15" s="24">
        <f t="array" ref="AA15">SWITCH($E$5, $G$1, AA32, $G$2, AA43, $G$3, AA54, $G$4, AA65)</f>
        <v>432</v>
      </c>
      <c r="AB15" s="25">
        <f t="array" ref="AB15">SWITCH($E$5, $G$1, AB32, $G$2, AB43, $G$3, AB54, $G$4, AB65)</f>
        <v>527.78</v>
      </c>
      <c r="AC15" s="26">
        <f t="array" ref="AC15">SWITCH($E$5, $G$1, AC32, $G$2, AC43, $G$3, AC54, $G$4, AC65)</f>
        <v>450</v>
      </c>
      <c r="AD15" s="24">
        <f t="array" ref="AD15">SWITCH($E$5, $G$1, AD32, $G$2, AD43, $G$3, AD54, $G$4, AD65)</f>
        <v>400</v>
      </c>
      <c r="AE15" s="25">
        <f t="array" ref="AE15">SWITCH($E$5, $G$1, AE32, $G$2, AE43, $G$3, AE54, $G$4, AE65)</f>
        <v>350</v>
      </c>
      <c r="AF15" s="26">
        <f t="array" ref="AF15">SWITCH($E$5, $G$1, AF32, $G$2, AF43, $G$3, AF54, $G$4, AF65)</f>
        <v>350</v>
      </c>
      <c r="AG15" s="24">
        <f t="array" ref="AG15">SWITCH($E$5, $G$1, AG32, $G$2, AG43, $G$3, AG54, $G$4, AG65)</f>
        <v>385</v>
      </c>
      <c r="AH15" s="25">
        <f t="array" ref="AH15">SWITCH($E$5, $G$1, AH32, $G$2, AH43, $G$3, AH54, $G$4, AH65)</f>
        <v>350</v>
      </c>
      <c r="AI15" s="26">
        <f t="array" ref="AI15">SWITCH($E$5, $G$1, AI32, $G$2, AI43, $G$3, AI54, $G$4, AI65)</f>
        <v>406</v>
      </c>
      <c r="AJ15" s="24">
        <f t="array" ref="AJ15">SWITCH($E$5, $G$1, AJ32, $G$2, AJ43, $G$3, AJ54, $G$4, AJ65)</f>
        <v>3306.45</v>
      </c>
      <c r="AK15" s="25">
        <f t="array" ref="AK15">SWITCH($E$5, $G$1, AK32, $G$2, AK43, $G$3, AK54, $G$4, AK65)</f>
        <v>3823.53</v>
      </c>
      <c r="AL15" s="26">
        <f t="array" ref="AL15">SWITCH($E$5, $G$1, AL32, $G$2, AL43, $G$3, AL54, $G$4, AL65)</f>
        <v>3571.43</v>
      </c>
      <c r="AM15" s="24">
        <f t="array" ref="AM15">SWITCH($E$5, $G$1, AM32, $G$2, AM43, $G$3, AM54, $G$4, AM65)</f>
        <v>2900</v>
      </c>
      <c r="AN15" s="25">
        <f t="array" ref="AN15">SWITCH($E$5, $G$1, AN32, $G$2, AN43, $G$3, AN54, $G$4, AN65)</f>
        <v>3100</v>
      </c>
      <c r="AO15" s="26">
        <f t="array" ref="AO15">SWITCH($E$5, $G$1, AO32, $G$2, AO43, $G$3, AO54, $G$4, AO65)</f>
        <v>3100</v>
      </c>
      <c r="AP15" s="24">
        <f t="array" ref="AP15">SWITCH($E$5, $G$1, AP32, $G$2, AP43, $G$3, AP54, $G$4, AP65)</f>
        <v>2700</v>
      </c>
      <c r="AQ15" s="25">
        <f t="array" ref="AQ15">SWITCH($E$5, $G$1, AQ32, $G$2, AQ43, $G$3, AQ54, $G$4, AQ65)</f>
        <v>2500</v>
      </c>
      <c r="AR15" s="26">
        <f t="array" ref="AR15">SWITCH($E$5, $G$1, AR32, $G$2, AR43, $G$3, AR54, $G$4, AR65)</f>
        <v>2600</v>
      </c>
    </row>
    <row r="16">
      <c r="A16" s="1"/>
      <c r="B16" s="30" t="s">
        <v>11</v>
      </c>
      <c r="C16" s="31">
        <f t="shared" ref="C16:Z16" si="1">SUM(C11:C15)</f>
        <v>850000</v>
      </c>
      <c r="D16" s="32">
        <f t="shared" si="1"/>
        <v>810000</v>
      </c>
      <c r="E16" s="33">
        <f t="shared" si="1"/>
        <v>795000</v>
      </c>
      <c r="F16" s="31">
        <f t="shared" si="1"/>
        <v>750000</v>
      </c>
      <c r="G16" s="32">
        <f t="shared" si="1"/>
        <v>800000</v>
      </c>
      <c r="H16" s="33">
        <f t="shared" si="1"/>
        <v>700000</v>
      </c>
      <c r="I16" s="31">
        <f t="shared" si="1"/>
        <v>695000</v>
      </c>
      <c r="J16" s="32">
        <f t="shared" si="1"/>
        <v>705000</v>
      </c>
      <c r="K16" s="33">
        <f t="shared" si="1"/>
        <v>690000</v>
      </c>
      <c r="L16" s="34">
        <f t="shared" si="1"/>
        <v>313</v>
      </c>
      <c r="M16" s="35">
        <f t="shared" si="1"/>
        <v>312</v>
      </c>
      <c r="N16" s="36">
        <f t="shared" si="1"/>
        <v>249</v>
      </c>
      <c r="O16" s="34">
        <f t="shared" si="1"/>
        <v>150</v>
      </c>
      <c r="P16" s="35">
        <f t="shared" si="1"/>
        <v>150</v>
      </c>
      <c r="Q16" s="36">
        <f t="shared" si="1"/>
        <v>125</v>
      </c>
      <c r="R16" s="34">
        <f t="shared" si="1"/>
        <v>122</v>
      </c>
      <c r="S16" s="35">
        <f t="shared" si="1"/>
        <v>101</v>
      </c>
      <c r="T16" s="36">
        <f t="shared" si="1"/>
        <v>88</v>
      </c>
      <c r="U16" s="34">
        <f t="shared" si="1"/>
        <v>90</v>
      </c>
      <c r="V16" s="35">
        <f t="shared" si="1"/>
        <v>91</v>
      </c>
      <c r="W16" s="36">
        <f t="shared" si="1"/>
        <v>92</v>
      </c>
      <c r="X16" s="37">
        <f t="shared" si="1"/>
        <v>44100</v>
      </c>
      <c r="Y16" s="38">
        <f t="shared" si="1"/>
        <v>39600</v>
      </c>
      <c r="Z16" s="39">
        <f t="shared" si="1"/>
        <v>35500</v>
      </c>
      <c r="AA16" s="37">
        <f t="shared" ref="AA16:AR16" si="2">AVERAGE(AA11:AA15)</f>
        <v>370.694</v>
      </c>
      <c r="AB16" s="38">
        <f t="shared" si="2"/>
        <v>406.71</v>
      </c>
      <c r="AC16" s="39">
        <f t="shared" si="2"/>
        <v>417.432</v>
      </c>
      <c r="AD16" s="37">
        <f t="shared" si="2"/>
        <v>400</v>
      </c>
      <c r="AE16" s="38">
        <f t="shared" si="2"/>
        <v>350</v>
      </c>
      <c r="AF16" s="39">
        <f t="shared" si="2"/>
        <v>350</v>
      </c>
      <c r="AG16" s="37">
        <f t="shared" si="2"/>
        <v>377.4</v>
      </c>
      <c r="AH16" s="38">
        <f t="shared" si="2"/>
        <v>354</v>
      </c>
      <c r="AI16" s="39">
        <f t="shared" si="2"/>
        <v>383.2</v>
      </c>
      <c r="AJ16" s="37">
        <f t="shared" si="2"/>
        <v>2700.218</v>
      </c>
      <c r="AK16" s="38">
        <f t="shared" si="2"/>
        <v>2659.034</v>
      </c>
      <c r="AL16" s="39">
        <f t="shared" si="2"/>
        <v>3248.902</v>
      </c>
      <c r="AM16" s="37">
        <f t="shared" si="2"/>
        <v>2480</v>
      </c>
      <c r="AN16" s="38">
        <f t="shared" si="2"/>
        <v>2350</v>
      </c>
      <c r="AO16" s="39">
        <f t="shared" si="2"/>
        <v>2660</v>
      </c>
      <c r="AP16" s="37">
        <f t="shared" si="2"/>
        <v>2700</v>
      </c>
      <c r="AQ16" s="38">
        <f t="shared" si="2"/>
        <v>2500</v>
      </c>
      <c r="AR16" s="39">
        <f t="shared" si="2"/>
        <v>2600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1"/>
      <c r="B18" s="40" t="s">
        <v>12</v>
      </c>
      <c r="C18" s="41"/>
      <c r="D18" s="42">
        <f>SUM(C33:E33,C44:E44,C55:E55,C66:E66)</f>
        <v>9271500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1"/>
      <c r="B19" s="43" t="s">
        <v>13</v>
      </c>
      <c r="C19" s="44"/>
      <c r="D19" s="45">
        <f>SUM(L33:N33,L44:N44,L55:N55,L66:N66)</f>
        <v>3799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1"/>
      <c r="B20" s="43" t="s">
        <v>14</v>
      </c>
      <c r="C20" s="44"/>
      <c r="D20" s="45">
        <f>SUM(R33:T33,R44:T44,R55:T55,R66:T66)</f>
        <v>1228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ht="15.75" customHeight="1">
      <c r="A21" s="1"/>
      <c r="B21" s="46" t="s">
        <v>15</v>
      </c>
      <c r="C21" s="47"/>
      <c r="D21" s="48">
        <f>D18/D19</f>
        <v>2440.510661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ht="15.75" customHeight="1">
      <c r="A25" s="1"/>
      <c r="B25" s="49"/>
      <c r="C25" s="50" t="s">
        <v>16</v>
      </c>
      <c r="D25" s="51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4"/>
    </row>
    <row r="26" ht="15.75" customHeight="1">
      <c r="A26" s="1"/>
      <c r="B26" s="55"/>
      <c r="C26" s="56" t="s">
        <v>17</v>
      </c>
      <c r="D26" s="57" t="s">
        <v>18</v>
      </c>
      <c r="E26" s="58" t="s">
        <v>19</v>
      </c>
      <c r="F26" s="56" t="s">
        <v>17</v>
      </c>
      <c r="G26" s="57" t="s">
        <v>18</v>
      </c>
      <c r="H26" s="58" t="s">
        <v>19</v>
      </c>
      <c r="I26" s="56" t="s">
        <v>17</v>
      </c>
      <c r="J26" s="57" t="s">
        <v>18</v>
      </c>
      <c r="K26" s="58" t="s">
        <v>19</v>
      </c>
      <c r="L26" s="56" t="s">
        <v>17</v>
      </c>
      <c r="M26" s="57" t="s">
        <v>18</v>
      </c>
      <c r="N26" s="58" t="s">
        <v>19</v>
      </c>
      <c r="O26" s="59" t="s">
        <v>17</v>
      </c>
      <c r="P26" s="60" t="s">
        <v>18</v>
      </c>
      <c r="Q26" s="60" t="s">
        <v>19</v>
      </c>
      <c r="R26" s="60" t="s">
        <v>17</v>
      </c>
      <c r="S26" s="60" t="s">
        <v>18</v>
      </c>
      <c r="T26" s="60" t="s">
        <v>19</v>
      </c>
      <c r="U26" s="60" t="s">
        <v>17</v>
      </c>
      <c r="V26" s="60" t="s">
        <v>18</v>
      </c>
      <c r="W26" s="60" t="s">
        <v>19</v>
      </c>
      <c r="X26" s="60" t="s">
        <v>17</v>
      </c>
      <c r="Y26" s="60" t="s">
        <v>18</v>
      </c>
      <c r="Z26" s="60" t="s">
        <v>19</v>
      </c>
      <c r="AA26" s="60" t="s">
        <v>17</v>
      </c>
      <c r="AB26" s="60" t="s">
        <v>18</v>
      </c>
      <c r="AC26" s="60" t="s">
        <v>19</v>
      </c>
      <c r="AD26" s="60" t="s">
        <v>17</v>
      </c>
      <c r="AE26" s="60" t="s">
        <v>18</v>
      </c>
      <c r="AF26" s="60" t="s">
        <v>19</v>
      </c>
      <c r="AG26" s="60" t="s">
        <v>17</v>
      </c>
      <c r="AH26" s="60" t="s">
        <v>18</v>
      </c>
      <c r="AI26" s="60" t="s">
        <v>19</v>
      </c>
      <c r="AJ26" s="60" t="s">
        <v>17</v>
      </c>
      <c r="AK26" s="60" t="s">
        <v>18</v>
      </c>
      <c r="AL26" s="60" t="s">
        <v>19</v>
      </c>
      <c r="AM26" s="60" t="s">
        <v>17</v>
      </c>
      <c r="AN26" s="60" t="s">
        <v>18</v>
      </c>
      <c r="AO26" s="60" t="s">
        <v>19</v>
      </c>
      <c r="AP26" s="60" t="s">
        <v>17</v>
      </c>
      <c r="AQ26" s="60" t="s">
        <v>18</v>
      </c>
      <c r="AR26" s="61" t="s">
        <v>19</v>
      </c>
    </row>
    <row r="27" ht="15.75" customHeight="1">
      <c r="A27" s="1"/>
      <c r="B27" s="55"/>
      <c r="C27" s="62" t="s">
        <v>20</v>
      </c>
      <c r="D27" s="60" t="s">
        <v>20</v>
      </c>
      <c r="E27" s="61" t="s">
        <v>20</v>
      </c>
      <c r="F27" s="62" t="s">
        <v>21</v>
      </c>
      <c r="G27" s="60" t="s">
        <v>21</v>
      </c>
      <c r="H27" s="61" t="s">
        <v>21</v>
      </c>
      <c r="I27" s="62" t="s">
        <v>22</v>
      </c>
      <c r="J27" s="60" t="s">
        <v>22</v>
      </c>
      <c r="K27" s="61" t="s">
        <v>22</v>
      </c>
      <c r="L27" s="62" t="s">
        <v>23</v>
      </c>
      <c r="M27" s="60" t="s">
        <v>23</v>
      </c>
      <c r="N27" s="61" t="s">
        <v>23</v>
      </c>
      <c r="O27" s="59" t="s">
        <v>24</v>
      </c>
      <c r="P27" s="60" t="s">
        <v>24</v>
      </c>
      <c r="Q27" s="60" t="s">
        <v>24</v>
      </c>
      <c r="R27" s="60" t="s">
        <v>25</v>
      </c>
      <c r="S27" s="60" t="s">
        <v>25</v>
      </c>
      <c r="T27" s="60" t="s">
        <v>25</v>
      </c>
      <c r="U27" s="60" t="s">
        <v>26</v>
      </c>
      <c r="V27" s="60" t="s">
        <v>26</v>
      </c>
      <c r="W27" s="60" t="s">
        <v>26</v>
      </c>
      <c r="X27" s="60" t="s">
        <v>27</v>
      </c>
      <c r="Y27" s="60" t="s">
        <v>27</v>
      </c>
      <c r="Z27" s="60" t="s">
        <v>27</v>
      </c>
      <c r="AA27" s="60" t="s">
        <v>28</v>
      </c>
      <c r="AB27" s="60" t="s">
        <v>28</v>
      </c>
      <c r="AC27" s="60" t="s">
        <v>28</v>
      </c>
      <c r="AD27" s="60" t="s">
        <v>29</v>
      </c>
      <c r="AE27" s="60" t="s">
        <v>29</v>
      </c>
      <c r="AF27" s="60" t="s">
        <v>29</v>
      </c>
      <c r="AG27" s="60" t="s">
        <v>30</v>
      </c>
      <c r="AH27" s="60" t="s">
        <v>30</v>
      </c>
      <c r="AI27" s="60" t="s">
        <v>30</v>
      </c>
      <c r="AJ27" s="60" t="s">
        <v>31</v>
      </c>
      <c r="AK27" s="60" t="s">
        <v>31</v>
      </c>
      <c r="AL27" s="60" t="s">
        <v>31</v>
      </c>
      <c r="AM27" s="60" t="s">
        <v>32</v>
      </c>
      <c r="AN27" s="60" t="s">
        <v>32</v>
      </c>
      <c r="AO27" s="60" t="s">
        <v>32</v>
      </c>
      <c r="AP27" s="60" t="s">
        <v>33</v>
      </c>
      <c r="AQ27" s="60" t="s">
        <v>33</v>
      </c>
      <c r="AR27" s="61" t="s">
        <v>33</v>
      </c>
    </row>
    <row r="28" ht="15.75" customHeight="1">
      <c r="A28" s="63"/>
      <c r="B28" s="64" t="s">
        <v>6</v>
      </c>
      <c r="C28" s="65">
        <v>135000.0</v>
      </c>
      <c r="D28" s="66">
        <v>130000.0</v>
      </c>
      <c r="E28" s="67">
        <v>160000.0</v>
      </c>
      <c r="F28" s="65">
        <v>150000.0</v>
      </c>
      <c r="G28" s="66">
        <v>140000.0</v>
      </c>
      <c r="H28" s="67">
        <v>150000.0</v>
      </c>
      <c r="I28" s="65">
        <v>115000.0</v>
      </c>
      <c r="J28" s="66">
        <v>140000.0</v>
      </c>
      <c r="K28" s="67">
        <v>160000.0</v>
      </c>
      <c r="L28" s="27">
        <v>57.0</v>
      </c>
      <c r="M28" s="28">
        <v>58.0</v>
      </c>
      <c r="N28" s="29">
        <v>63.0</v>
      </c>
      <c r="O28" s="68">
        <v>25.0</v>
      </c>
      <c r="P28" s="28">
        <v>20.0</v>
      </c>
      <c r="Q28" s="28">
        <v>25.0</v>
      </c>
      <c r="R28" s="28">
        <v>10.0</v>
      </c>
      <c r="S28" s="28">
        <v>11.0</v>
      </c>
      <c r="T28" s="28">
        <v>18.0</v>
      </c>
      <c r="U28" s="28">
        <v>9.0</v>
      </c>
      <c r="V28" s="28">
        <v>12.0</v>
      </c>
      <c r="W28" s="28">
        <v>14.0</v>
      </c>
      <c r="X28" s="66">
        <v>4200.0</v>
      </c>
      <c r="Y28" s="66">
        <v>5000.0</v>
      </c>
      <c r="Z28" s="66">
        <v>5500.0</v>
      </c>
      <c r="AA28" s="66">
        <v>420.0</v>
      </c>
      <c r="AB28" s="66">
        <v>454.55</v>
      </c>
      <c r="AC28" s="66">
        <v>305.56</v>
      </c>
      <c r="AD28" s="66">
        <v>350.0</v>
      </c>
      <c r="AE28" s="66">
        <v>350.0</v>
      </c>
      <c r="AF28" s="66">
        <v>350.0</v>
      </c>
      <c r="AG28" s="66">
        <v>400.0</v>
      </c>
      <c r="AH28" s="66">
        <v>385.0</v>
      </c>
      <c r="AI28" s="66">
        <v>390.0</v>
      </c>
      <c r="AJ28" s="66">
        <v>2192.98</v>
      </c>
      <c r="AK28" s="66">
        <v>2241.38</v>
      </c>
      <c r="AL28" s="66">
        <v>2539.68</v>
      </c>
      <c r="AM28" s="66">
        <v>2200.0</v>
      </c>
      <c r="AN28" s="66">
        <v>2100.0</v>
      </c>
      <c r="AO28" s="66">
        <v>2400.0</v>
      </c>
      <c r="AP28" s="66">
        <v>2500.0</v>
      </c>
      <c r="AQ28" s="66">
        <v>2600.0</v>
      </c>
      <c r="AR28" s="67">
        <v>2400.0</v>
      </c>
    </row>
    <row r="29" ht="15.75" customHeight="1">
      <c r="A29" s="63"/>
      <c r="B29" s="64" t="s">
        <v>7</v>
      </c>
      <c r="C29" s="65">
        <v>170000.0</v>
      </c>
      <c r="D29" s="66">
        <v>160000.0</v>
      </c>
      <c r="E29" s="67">
        <v>185000.0</v>
      </c>
      <c r="F29" s="65">
        <v>150000.0</v>
      </c>
      <c r="G29" s="66">
        <v>140000.0</v>
      </c>
      <c r="H29" s="67">
        <v>150000.0</v>
      </c>
      <c r="I29" s="65">
        <v>160000.0</v>
      </c>
      <c r="J29" s="66">
        <v>130000.0</v>
      </c>
      <c r="K29" s="67">
        <v>125000.0</v>
      </c>
      <c r="L29" s="27">
        <v>74.0</v>
      </c>
      <c r="M29" s="28">
        <v>70.0</v>
      </c>
      <c r="N29" s="29">
        <v>74.0</v>
      </c>
      <c r="O29" s="68">
        <v>25.0</v>
      </c>
      <c r="P29" s="28">
        <v>20.0</v>
      </c>
      <c r="Q29" s="28">
        <v>25.0</v>
      </c>
      <c r="R29" s="28">
        <v>22.0</v>
      </c>
      <c r="S29" s="28">
        <v>23.0</v>
      </c>
      <c r="T29" s="28">
        <v>26.0</v>
      </c>
      <c r="U29" s="28">
        <v>17.0</v>
      </c>
      <c r="V29" s="28">
        <v>24.0</v>
      </c>
      <c r="W29" s="28">
        <v>22.0</v>
      </c>
      <c r="X29" s="66">
        <v>7800.0</v>
      </c>
      <c r="Y29" s="66">
        <v>10000.0</v>
      </c>
      <c r="Z29" s="66">
        <v>9000.0</v>
      </c>
      <c r="AA29" s="66">
        <v>354.55</v>
      </c>
      <c r="AB29" s="66">
        <v>434.78</v>
      </c>
      <c r="AC29" s="66">
        <v>346.15</v>
      </c>
      <c r="AD29" s="66">
        <v>350.0</v>
      </c>
      <c r="AE29" s="66">
        <v>350.0</v>
      </c>
      <c r="AF29" s="66">
        <v>350.0</v>
      </c>
      <c r="AG29" s="66">
        <v>402.0</v>
      </c>
      <c r="AH29" s="66">
        <v>290.0</v>
      </c>
      <c r="AI29" s="66">
        <v>380.0</v>
      </c>
      <c r="AJ29" s="66">
        <v>2432.43</v>
      </c>
      <c r="AK29" s="66">
        <v>2285.71</v>
      </c>
      <c r="AL29" s="66">
        <v>2500.0</v>
      </c>
      <c r="AM29" s="66">
        <v>2100.0</v>
      </c>
      <c r="AN29" s="66">
        <v>2200.0</v>
      </c>
      <c r="AO29" s="66">
        <v>2300.0</v>
      </c>
      <c r="AP29" s="66">
        <v>2500.0</v>
      </c>
      <c r="AQ29" s="66">
        <v>2600.0</v>
      </c>
      <c r="AR29" s="67">
        <v>2400.0</v>
      </c>
    </row>
    <row r="30" ht="15.75" customHeight="1">
      <c r="A30" s="63"/>
      <c r="B30" s="64" t="s">
        <v>8</v>
      </c>
      <c r="C30" s="65">
        <v>175000.0</v>
      </c>
      <c r="D30" s="66">
        <v>135000.0</v>
      </c>
      <c r="E30" s="67">
        <v>145000.0</v>
      </c>
      <c r="F30" s="65">
        <v>150000.0</v>
      </c>
      <c r="G30" s="66">
        <v>140000.0</v>
      </c>
      <c r="H30" s="67">
        <v>150000.0</v>
      </c>
      <c r="I30" s="65">
        <v>170000.0</v>
      </c>
      <c r="J30" s="66">
        <v>145000.0</v>
      </c>
      <c r="K30" s="67">
        <v>130000.0</v>
      </c>
      <c r="L30" s="27">
        <v>70.0</v>
      </c>
      <c r="M30" s="28">
        <v>55.0</v>
      </c>
      <c r="N30" s="29">
        <v>61.0</v>
      </c>
      <c r="O30" s="68">
        <v>25.0</v>
      </c>
      <c r="P30" s="28">
        <v>20.0</v>
      </c>
      <c r="Q30" s="28">
        <v>25.0</v>
      </c>
      <c r="R30" s="28">
        <v>35.0</v>
      </c>
      <c r="S30" s="28">
        <v>20.0</v>
      </c>
      <c r="T30" s="28">
        <v>17.0</v>
      </c>
      <c r="U30" s="28">
        <v>36.0</v>
      </c>
      <c r="V30" s="28">
        <v>25.0</v>
      </c>
      <c r="W30" s="28">
        <v>21.0</v>
      </c>
      <c r="X30" s="66">
        <v>13200.0</v>
      </c>
      <c r="Y30" s="66">
        <v>9500.0</v>
      </c>
      <c r="Z30" s="66">
        <v>8300.0</v>
      </c>
      <c r="AA30" s="66">
        <v>377.14</v>
      </c>
      <c r="AB30" s="66">
        <v>475.0</v>
      </c>
      <c r="AC30" s="66">
        <v>488.24</v>
      </c>
      <c r="AD30" s="66">
        <v>350.0</v>
      </c>
      <c r="AE30" s="66">
        <v>350.0</v>
      </c>
      <c r="AF30" s="66">
        <v>350.0</v>
      </c>
      <c r="AG30" s="66">
        <v>350.0</v>
      </c>
      <c r="AH30" s="66">
        <v>385.0</v>
      </c>
      <c r="AI30" s="66">
        <v>352.0</v>
      </c>
      <c r="AJ30" s="66">
        <v>2428.57</v>
      </c>
      <c r="AK30" s="66">
        <v>2454.55</v>
      </c>
      <c r="AL30" s="66">
        <v>2377.05</v>
      </c>
      <c r="AM30" s="66">
        <v>2500.0</v>
      </c>
      <c r="AN30" s="66">
        <v>2500.0</v>
      </c>
      <c r="AO30" s="66">
        <v>2300.0</v>
      </c>
      <c r="AP30" s="66">
        <v>2500.0</v>
      </c>
      <c r="AQ30" s="66">
        <v>2600.0</v>
      </c>
      <c r="AR30" s="67">
        <v>2400.0</v>
      </c>
    </row>
    <row r="31" ht="15.75" customHeight="1">
      <c r="A31" s="63"/>
      <c r="B31" s="64" t="s">
        <v>9</v>
      </c>
      <c r="C31" s="65">
        <v>156000.0</v>
      </c>
      <c r="D31" s="66">
        <v>175000.0</v>
      </c>
      <c r="E31" s="67">
        <v>155000.0</v>
      </c>
      <c r="F31" s="65">
        <v>150000.0</v>
      </c>
      <c r="G31" s="66">
        <v>140000.0</v>
      </c>
      <c r="H31" s="67">
        <v>150000.0</v>
      </c>
      <c r="I31" s="65">
        <v>165000.0</v>
      </c>
      <c r="J31" s="66">
        <v>155000.0</v>
      </c>
      <c r="K31" s="67">
        <v>140000.0</v>
      </c>
      <c r="L31" s="27">
        <v>66.0</v>
      </c>
      <c r="M31" s="28">
        <v>68.0</v>
      </c>
      <c r="N31" s="29">
        <v>63.0</v>
      </c>
      <c r="O31" s="68">
        <v>25.0</v>
      </c>
      <c r="P31" s="28">
        <v>20.0</v>
      </c>
      <c r="Q31" s="28">
        <v>25.0</v>
      </c>
      <c r="R31" s="28">
        <v>18.0</v>
      </c>
      <c r="S31" s="28">
        <v>14.0</v>
      </c>
      <c r="T31" s="28">
        <v>24.0</v>
      </c>
      <c r="U31" s="28">
        <v>14.0</v>
      </c>
      <c r="V31" s="28">
        <v>25.0</v>
      </c>
      <c r="W31" s="28">
        <v>22.0</v>
      </c>
      <c r="X31" s="66">
        <v>6500.0</v>
      </c>
      <c r="Y31" s="66">
        <v>9000.0</v>
      </c>
      <c r="Z31" s="66">
        <v>8500.0</v>
      </c>
      <c r="AA31" s="66">
        <v>361.11</v>
      </c>
      <c r="AB31" s="66">
        <v>642.86</v>
      </c>
      <c r="AC31" s="66">
        <v>354.17</v>
      </c>
      <c r="AD31" s="66">
        <v>350.0</v>
      </c>
      <c r="AE31" s="66">
        <v>350.0</v>
      </c>
      <c r="AF31" s="66">
        <v>350.0</v>
      </c>
      <c r="AG31" s="66">
        <v>350.0</v>
      </c>
      <c r="AH31" s="66">
        <v>360.0</v>
      </c>
      <c r="AI31" s="66">
        <v>388.0</v>
      </c>
      <c r="AJ31" s="66">
        <v>2272.73</v>
      </c>
      <c r="AK31" s="66">
        <v>2573.53</v>
      </c>
      <c r="AL31" s="66">
        <v>2460.32</v>
      </c>
      <c r="AM31" s="66">
        <v>2200.0</v>
      </c>
      <c r="AN31" s="66">
        <v>2600.0</v>
      </c>
      <c r="AO31" s="66">
        <v>2400.0</v>
      </c>
      <c r="AP31" s="66">
        <v>2500.0</v>
      </c>
      <c r="AQ31" s="66">
        <v>2600.0</v>
      </c>
      <c r="AR31" s="67">
        <v>2400.0</v>
      </c>
    </row>
    <row r="32" ht="15.75" customHeight="1">
      <c r="A32" s="63"/>
      <c r="B32" s="64" t="s">
        <v>10</v>
      </c>
      <c r="C32" s="65">
        <v>135500.0</v>
      </c>
      <c r="D32" s="66">
        <v>190000.0</v>
      </c>
      <c r="E32" s="67">
        <v>140000.0</v>
      </c>
      <c r="F32" s="65">
        <v>150000.0</v>
      </c>
      <c r="G32" s="66">
        <v>140000.0</v>
      </c>
      <c r="H32" s="67">
        <v>150000.0</v>
      </c>
      <c r="I32" s="65">
        <v>155000.0</v>
      </c>
      <c r="J32" s="66">
        <v>120000.0</v>
      </c>
      <c r="K32" s="67">
        <v>150000.0</v>
      </c>
      <c r="L32" s="27">
        <v>71.0</v>
      </c>
      <c r="M32" s="28">
        <v>62.0</v>
      </c>
      <c r="N32" s="29">
        <v>51.0</v>
      </c>
      <c r="O32" s="68">
        <v>25.0</v>
      </c>
      <c r="P32" s="28">
        <v>20.0</v>
      </c>
      <c r="Q32" s="28">
        <v>25.0</v>
      </c>
      <c r="R32" s="28">
        <v>33.0</v>
      </c>
      <c r="S32" s="28">
        <v>20.0</v>
      </c>
      <c r="T32" s="28">
        <v>16.0</v>
      </c>
      <c r="U32" s="28">
        <v>20.0</v>
      </c>
      <c r="V32" s="28">
        <v>25.0</v>
      </c>
      <c r="W32" s="28">
        <v>24.0</v>
      </c>
      <c r="X32" s="66">
        <v>12100.0</v>
      </c>
      <c r="Y32" s="66">
        <v>10800.0</v>
      </c>
      <c r="Z32" s="66">
        <v>10500.0</v>
      </c>
      <c r="AA32" s="66">
        <v>366.67</v>
      </c>
      <c r="AB32" s="66">
        <v>540.0</v>
      </c>
      <c r="AC32" s="66">
        <v>656.25</v>
      </c>
      <c r="AD32" s="66">
        <v>350.0</v>
      </c>
      <c r="AE32" s="66">
        <v>350.0</v>
      </c>
      <c r="AF32" s="66">
        <v>350.0</v>
      </c>
      <c r="AG32" s="66">
        <v>385.0</v>
      </c>
      <c r="AH32" s="66">
        <v>350.0</v>
      </c>
      <c r="AI32" s="66">
        <v>406.0</v>
      </c>
      <c r="AJ32" s="66">
        <v>1901.41</v>
      </c>
      <c r="AK32" s="66">
        <v>3064.52</v>
      </c>
      <c r="AL32" s="66">
        <v>2745.1</v>
      </c>
      <c r="AM32" s="66">
        <v>2100.0</v>
      </c>
      <c r="AN32" s="66">
        <v>2800.0</v>
      </c>
      <c r="AO32" s="66">
        <v>2700.0</v>
      </c>
      <c r="AP32" s="66">
        <v>2500.0</v>
      </c>
      <c r="AQ32" s="66">
        <v>2600.0</v>
      </c>
      <c r="AR32" s="67">
        <v>2400.0</v>
      </c>
    </row>
    <row r="33" ht="15.75" customHeight="1">
      <c r="A33" s="63"/>
      <c r="B33" s="69" t="s">
        <v>11</v>
      </c>
      <c r="C33" s="70">
        <f t="shared" ref="C33:Z33" si="3">SUM(C28:C32)</f>
        <v>771500</v>
      </c>
      <c r="D33" s="71">
        <f t="shared" si="3"/>
        <v>790000</v>
      </c>
      <c r="E33" s="72">
        <f t="shared" si="3"/>
        <v>785000</v>
      </c>
      <c r="F33" s="70">
        <f t="shared" si="3"/>
        <v>750000</v>
      </c>
      <c r="G33" s="71">
        <f t="shared" si="3"/>
        <v>700000</v>
      </c>
      <c r="H33" s="72">
        <f t="shared" si="3"/>
        <v>750000</v>
      </c>
      <c r="I33" s="70">
        <f t="shared" si="3"/>
        <v>765000</v>
      </c>
      <c r="J33" s="71">
        <f t="shared" si="3"/>
        <v>690000</v>
      </c>
      <c r="K33" s="72">
        <f t="shared" si="3"/>
        <v>705000</v>
      </c>
      <c r="L33" s="73">
        <f t="shared" si="3"/>
        <v>338</v>
      </c>
      <c r="M33" s="74">
        <f t="shared" si="3"/>
        <v>313</v>
      </c>
      <c r="N33" s="75">
        <f t="shared" si="3"/>
        <v>312</v>
      </c>
      <c r="O33" s="76">
        <f t="shared" si="3"/>
        <v>125</v>
      </c>
      <c r="P33" s="74">
        <f t="shared" si="3"/>
        <v>100</v>
      </c>
      <c r="Q33" s="74">
        <f t="shared" si="3"/>
        <v>125</v>
      </c>
      <c r="R33" s="74">
        <f t="shared" si="3"/>
        <v>118</v>
      </c>
      <c r="S33" s="74">
        <f t="shared" si="3"/>
        <v>88</v>
      </c>
      <c r="T33" s="74">
        <f t="shared" si="3"/>
        <v>101</v>
      </c>
      <c r="U33" s="74">
        <f t="shared" si="3"/>
        <v>96</v>
      </c>
      <c r="V33" s="74">
        <f t="shared" si="3"/>
        <v>111</v>
      </c>
      <c r="W33" s="74">
        <f t="shared" si="3"/>
        <v>103</v>
      </c>
      <c r="X33" s="71">
        <f t="shared" si="3"/>
        <v>43800</v>
      </c>
      <c r="Y33" s="71">
        <f t="shared" si="3"/>
        <v>44300</v>
      </c>
      <c r="Z33" s="71">
        <f t="shared" si="3"/>
        <v>41800</v>
      </c>
      <c r="AA33" s="71">
        <f t="shared" ref="AA33:AR33" si="4">AVERAGE(AA28:AA32)</f>
        <v>375.894</v>
      </c>
      <c r="AB33" s="71">
        <f t="shared" si="4"/>
        <v>509.438</v>
      </c>
      <c r="AC33" s="71">
        <f t="shared" si="4"/>
        <v>430.074</v>
      </c>
      <c r="AD33" s="71">
        <f t="shared" si="4"/>
        <v>350</v>
      </c>
      <c r="AE33" s="71">
        <f t="shared" si="4"/>
        <v>350</v>
      </c>
      <c r="AF33" s="71">
        <f t="shared" si="4"/>
        <v>350</v>
      </c>
      <c r="AG33" s="71">
        <f t="shared" si="4"/>
        <v>377.4</v>
      </c>
      <c r="AH33" s="71">
        <f t="shared" si="4"/>
        <v>354</v>
      </c>
      <c r="AI33" s="71">
        <f t="shared" si="4"/>
        <v>383.2</v>
      </c>
      <c r="AJ33" s="71">
        <f t="shared" si="4"/>
        <v>2245.624</v>
      </c>
      <c r="AK33" s="71">
        <f t="shared" si="4"/>
        <v>2523.938</v>
      </c>
      <c r="AL33" s="71">
        <f t="shared" si="4"/>
        <v>2524.43</v>
      </c>
      <c r="AM33" s="71">
        <f t="shared" si="4"/>
        <v>2220</v>
      </c>
      <c r="AN33" s="71">
        <f t="shared" si="4"/>
        <v>2440</v>
      </c>
      <c r="AO33" s="71">
        <f t="shared" si="4"/>
        <v>2420</v>
      </c>
      <c r="AP33" s="71">
        <f t="shared" si="4"/>
        <v>2500</v>
      </c>
      <c r="AQ33" s="71">
        <f t="shared" si="4"/>
        <v>2600</v>
      </c>
      <c r="AR33" s="72">
        <f t="shared" si="4"/>
        <v>2400</v>
      </c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5.75" customHeight="1">
      <c r="A36" s="1"/>
      <c r="B36" s="77"/>
      <c r="C36" s="78" t="s">
        <v>34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4"/>
    </row>
    <row r="37" ht="15.75" customHeight="1">
      <c r="A37" s="1"/>
      <c r="B37" s="79"/>
      <c r="C37" s="60" t="s">
        <v>35</v>
      </c>
      <c r="D37" s="60" t="s">
        <v>36</v>
      </c>
      <c r="E37" s="60" t="s">
        <v>37</v>
      </c>
      <c r="F37" s="60" t="s">
        <v>35</v>
      </c>
      <c r="G37" s="60" t="s">
        <v>36</v>
      </c>
      <c r="H37" s="60" t="s">
        <v>37</v>
      </c>
      <c r="I37" s="60" t="s">
        <v>35</v>
      </c>
      <c r="J37" s="60" t="s">
        <v>36</v>
      </c>
      <c r="K37" s="60" t="s">
        <v>37</v>
      </c>
      <c r="L37" s="60" t="s">
        <v>35</v>
      </c>
      <c r="M37" s="60" t="s">
        <v>36</v>
      </c>
      <c r="N37" s="60" t="s">
        <v>37</v>
      </c>
      <c r="O37" s="60" t="s">
        <v>35</v>
      </c>
      <c r="P37" s="60" t="s">
        <v>36</v>
      </c>
      <c r="Q37" s="60" t="s">
        <v>37</v>
      </c>
      <c r="R37" s="60" t="s">
        <v>35</v>
      </c>
      <c r="S37" s="60" t="s">
        <v>36</v>
      </c>
      <c r="T37" s="60" t="s">
        <v>37</v>
      </c>
      <c r="U37" s="60" t="s">
        <v>35</v>
      </c>
      <c r="V37" s="60" t="s">
        <v>36</v>
      </c>
      <c r="W37" s="60" t="s">
        <v>37</v>
      </c>
      <c r="X37" s="60" t="s">
        <v>35</v>
      </c>
      <c r="Y37" s="60" t="s">
        <v>36</v>
      </c>
      <c r="Z37" s="60" t="s">
        <v>37</v>
      </c>
      <c r="AA37" s="60" t="s">
        <v>35</v>
      </c>
      <c r="AB37" s="60" t="s">
        <v>36</v>
      </c>
      <c r="AC37" s="60" t="s">
        <v>37</v>
      </c>
      <c r="AD37" s="60" t="s">
        <v>35</v>
      </c>
      <c r="AE37" s="60" t="s">
        <v>36</v>
      </c>
      <c r="AF37" s="60" t="s">
        <v>37</v>
      </c>
      <c r="AG37" s="60" t="s">
        <v>35</v>
      </c>
      <c r="AH37" s="60" t="s">
        <v>36</v>
      </c>
      <c r="AI37" s="60" t="s">
        <v>37</v>
      </c>
      <c r="AJ37" s="60" t="s">
        <v>35</v>
      </c>
      <c r="AK37" s="60" t="s">
        <v>36</v>
      </c>
      <c r="AL37" s="60" t="s">
        <v>37</v>
      </c>
      <c r="AM37" s="60" t="s">
        <v>35</v>
      </c>
      <c r="AN37" s="60" t="s">
        <v>36</v>
      </c>
      <c r="AO37" s="60" t="s">
        <v>37</v>
      </c>
      <c r="AP37" s="60" t="s">
        <v>35</v>
      </c>
      <c r="AQ37" s="60" t="s">
        <v>36</v>
      </c>
      <c r="AR37" s="61" t="s">
        <v>37</v>
      </c>
    </row>
    <row r="38" ht="15.75" customHeight="1">
      <c r="A38" s="1"/>
      <c r="B38" s="79"/>
      <c r="C38" s="60" t="s">
        <v>20</v>
      </c>
      <c r="D38" s="60" t="s">
        <v>20</v>
      </c>
      <c r="E38" s="60" t="s">
        <v>20</v>
      </c>
      <c r="F38" s="60" t="s">
        <v>21</v>
      </c>
      <c r="G38" s="60" t="s">
        <v>21</v>
      </c>
      <c r="H38" s="60" t="s">
        <v>21</v>
      </c>
      <c r="I38" s="60" t="s">
        <v>22</v>
      </c>
      <c r="J38" s="60" t="s">
        <v>22</v>
      </c>
      <c r="K38" s="60" t="s">
        <v>22</v>
      </c>
      <c r="L38" s="60" t="s">
        <v>23</v>
      </c>
      <c r="M38" s="60" t="s">
        <v>23</v>
      </c>
      <c r="N38" s="60" t="s">
        <v>23</v>
      </c>
      <c r="O38" s="60" t="s">
        <v>24</v>
      </c>
      <c r="P38" s="60" t="s">
        <v>24</v>
      </c>
      <c r="Q38" s="60" t="s">
        <v>24</v>
      </c>
      <c r="R38" s="60" t="s">
        <v>25</v>
      </c>
      <c r="S38" s="60" t="s">
        <v>25</v>
      </c>
      <c r="T38" s="60" t="s">
        <v>25</v>
      </c>
      <c r="U38" s="60" t="s">
        <v>26</v>
      </c>
      <c r="V38" s="60" t="s">
        <v>26</v>
      </c>
      <c r="W38" s="60" t="s">
        <v>26</v>
      </c>
      <c r="X38" s="60" t="s">
        <v>27</v>
      </c>
      <c r="Y38" s="60" t="s">
        <v>27</v>
      </c>
      <c r="Z38" s="60" t="s">
        <v>27</v>
      </c>
      <c r="AA38" s="60" t="s">
        <v>28</v>
      </c>
      <c r="AB38" s="60" t="s">
        <v>28</v>
      </c>
      <c r="AC38" s="60" t="s">
        <v>28</v>
      </c>
      <c r="AD38" s="60" t="s">
        <v>29</v>
      </c>
      <c r="AE38" s="60" t="s">
        <v>29</v>
      </c>
      <c r="AF38" s="60" t="s">
        <v>29</v>
      </c>
      <c r="AG38" s="60" t="s">
        <v>30</v>
      </c>
      <c r="AH38" s="60" t="s">
        <v>30</v>
      </c>
      <c r="AI38" s="60" t="s">
        <v>30</v>
      </c>
      <c r="AJ38" s="60" t="s">
        <v>31</v>
      </c>
      <c r="AK38" s="60" t="s">
        <v>31</v>
      </c>
      <c r="AL38" s="60" t="s">
        <v>31</v>
      </c>
      <c r="AM38" s="60" t="s">
        <v>32</v>
      </c>
      <c r="AN38" s="60" t="s">
        <v>32</v>
      </c>
      <c r="AO38" s="60" t="s">
        <v>32</v>
      </c>
      <c r="AP38" s="60" t="s">
        <v>33</v>
      </c>
      <c r="AQ38" s="60" t="s">
        <v>33</v>
      </c>
      <c r="AR38" s="61" t="s">
        <v>33</v>
      </c>
    </row>
    <row r="39" ht="15.75" customHeight="1">
      <c r="A39" s="63"/>
      <c r="B39" s="65" t="s">
        <v>6</v>
      </c>
      <c r="C39" s="66">
        <v>130000.0</v>
      </c>
      <c r="D39" s="66">
        <v>135000.0</v>
      </c>
      <c r="E39" s="66">
        <v>150000.0</v>
      </c>
      <c r="F39" s="66">
        <v>150000.0</v>
      </c>
      <c r="G39" s="66">
        <v>160000.0</v>
      </c>
      <c r="H39" s="66">
        <v>140000.0</v>
      </c>
      <c r="I39" s="66">
        <v>125000.0</v>
      </c>
      <c r="J39" s="66">
        <v>160000.0</v>
      </c>
      <c r="K39" s="66">
        <v>135000.0</v>
      </c>
      <c r="L39" s="28">
        <v>58.0</v>
      </c>
      <c r="M39" s="28">
        <v>63.0</v>
      </c>
      <c r="N39" s="28">
        <v>55.0</v>
      </c>
      <c r="O39" s="28">
        <v>30.0</v>
      </c>
      <c r="P39" s="28">
        <v>30.0</v>
      </c>
      <c r="Q39" s="28">
        <v>25.0</v>
      </c>
      <c r="R39" s="28">
        <v>12.0</v>
      </c>
      <c r="S39" s="28">
        <v>25.0</v>
      </c>
      <c r="T39" s="28">
        <v>11.0</v>
      </c>
      <c r="U39" s="28">
        <v>11.0</v>
      </c>
      <c r="V39" s="28">
        <v>21.0</v>
      </c>
      <c r="W39" s="28">
        <v>14.0</v>
      </c>
      <c r="X39" s="66">
        <v>5000.0</v>
      </c>
      <c r="Y39" s="66">
        <v>4500.0</v>
      </c>
      <c r="Z39" s="66">
        <v>5000.0</v>
      </c>
      <c r="AA39" s="66">
        <v>416.67</v>
      </c>
      <c r="AB39" s="66">
        <v>180.0</v>
      </c>
      <c r="AC39" s="66">
        <v>454.55</v>
      </c>
      <c r="AD39" s="66">
        <v>400.0</v>
      </c>
      <c r="AE39" s="66">
        <v>350.0</v>
      </c>
      <c r="AF39" s="66">
        <v>350.0</v>
      </c>
      <c r="AG39" s="66">
        <v>400.0</v>
      </c>
      <c r="AH39" s="66">
        <v>385.0</v>
      </c>
      <c r="AI39" s="66">
        <v>390.0</v>
      </c>
      <c r="AJ39" s="66">
        <v>2068.97</v>
      </c>
      <c r="AK39" s="66">
        <v>2142.86</v>
      </c>
      <c r="AL39" s="66">
        <v>2727.27</v>
      </c>
      <c r="AM39" s="66">
        <v>2100.0</v>
      </c>
      <c r="AN39" s="66">
        <v>2000.0</v>
      </c>
      <c r="AO39" s="66">
        <v>2600.0</v>
      </c>
      <c r="AP39" s="66">
        <v>2700.0</v>
      </c>
      <c r="AQ39" s="66">
        <v>2500.0</v>
      </c>
      <c r="AR39" s="67">
        <v>2600.0</v>
      </c>
    </row>
    <row r="40" ht="15.75" customHeight="1">
      <c r="A40" s="63"/>
      <c r="B40" s="65" t="s">
        <v>7</v>
      </c>
      <c r="C40" s="66">
        <v>175000.0</v>
      </c>
      <c r="D40" s="66">
        <v>155000.0</v>
      </c>
      <c r="E40" s="66">
        <v>190000.0</v>
      </c>
      <c r="F40" s="66">
        <v>150000.0</v>
      </c>
      <c r="G40" s="66">
        <v>160000.0</v>
      </c>
      <c r="H40" s="66">
        <v>140000.0</v>
      </c>
      <c r="I40" s="66">
        <v>145000.0</v>
      </c>
      <c r="J40" s="66">
        <v>125000.0</v>
      </c>
      <c r="K40" s="66">
        <v>125000.0</v>
      </c>
      <c r="L40" s="28">
        <v>70.0</v>
      </c>
      <c r="M40" s="28">
        <v>74.0</v>
      </c>
      <c r="N40" s="28">
        <v>65.0</v>
      </c>
      <c r="O40" s="28">
        <v>30.0</v>
      </c>
      <c r="P40" s="28">
        <v>30.0</v>
      </c>
      <c r="Q40" s="28">
        <v>25.0</v>
      </c>
      <c r="R40" s="28">
        <v>26.0</v>
      </c>
      <c r="S40" s="28">
        <v>18.0</v>
      </c>
      <c r="T40" s="28">
        <v>23.0</v>
      </c>
      <c r="U40" s="28">
        <v>17.0</v>
      </c>
      <c r="V40" s="28">
        <v>18.0</v>
      </c>
      <c r="W40" s="28">
        <v>15.0</v>
      </c>
      <c r="X40" s="66">
        <v>9800.0</v>
      </c>
      <c r="Y40" s="66">
        <v>9800.0</v>
      </c>
      <c r="Z40" s="66">
        <v>6500.0</v>
      </c>
      <c r="AA40" s="66">
        <v>376.92</v>
      </c>
      <c r="AB40" s="66">
        <v>544.44</v>
      </c>
      <c r="AC40" s="66">
        <v>282.61</v>
      </c>
      <c r="AD40" s="66">
        <v>400.0</v>
      </c>
      <c r="AE40" s="66">
        <v>350.0</v>
      </c>
      <c r="AF40" s="66">
        <v>350.0</v>
      </c>
      <c r="AG40" s="66">
        <v>402.0</v>
      </c>
      <c r="AH40" s="66">
        <v>290.0</v>
      </c>
      <c r="AI40" s="66">
        <v>380.0</v>
      </c>
      <c r="AJ40" s="66">
        <v>2500.0</v>
      </c>
      <c r="AK40" s="66">
        <v>2094.59</v>
      </c>
      <c r="AL40" s="66">
        <v>2923.08</v>
      </c>
      <c r="AM40" s="66">
        <v>2200.0</v>
      </c>
      <c r="AN40" s="66">
        <v>2000.0</v>
      </c>
      <c r="AO40" s="66">
        <v>2200.0</v>
      </c>
      <c r="AP40" s="66">
        <v>2700.0</v>
      </c>
      <c r="AQ40" s="66">
        <v>2500.0</v>
      </c>
      <c r="AR40" s="67">
        <v>2600.0</v>
      </c>
    </row>
    <row r="41" ht="15.75" customHeight="1">
      <c r="A41" s="63"/>
      <c r="B41" s="65" t="s">
        <v>8</v>
      </c>
      <c r="C41" s="66">
        <v>180000.0</v>
      </c>
      <c r="D41" s="66">
        <v>145000.0</v>
      </c>
      <c r="E41" s="66">
        <v>155000.0</v>
      </c>
      <c r="F41" s="66">
        <v>150000.0</v>
      </c>
      <c r="G41" s="66">
        <v>160000.0</v>
      </c>
      <c r="H41" s="66">
        <v>140000.0</v>
      </c>
      <c r="I41" s="66">
        <v>155000.0</v>
      </c>
      <c r="J41" s="66">
        <v>130000.0</v>
      </c>
      <c r="K41" s="66">
        <v>125000.0</v>
      </c>
      <c r="L41" s="28">
        <v>55.0</v>
      </c>
      <c r="M41" s="28">
        <v>61.0</v>
      </c>
      <c r="N41" s="28">
        <v>44.0</v>
      </c>
      <c r="O41" s="28">
        <v>30.0</v>
      </c>
      <c r="P41" s="28">
        <v>30.0</v>
      </c>
      <c r="Q41" s="28">
        <v>25.0</v>
      </c>
      <c r="R41" s="28">
        <v>31.0</v>
      </c>
      <c r="S41" s="28">
        <v>25.0</v>
      </c>
      <c r="T41" s="28">
        <v>20.0</v>
      </c>
      <c r="U41" s="28">
        <v>25.0</v>
      </c>
      <c r="V41" s="28">
        <v>21.0</v>
      </c>
      <c r="W41" s="28">
        <v>22.0</v>
      </c>
      <c r="X41" s="66">
        <v>9500.0</v>
      </c>
      <c r="Y41" s="66">
        <v>10200.0</v>
      </c>
      <c r="Z41" s="66">
        <v>8000.0</v>
      </c>
      <c r="AA41" s="66">
        <v>306.45</v>
      </c>
      <c r="AB41" s="66">
        <v>408.0</v>
      </c>
      <c r="AC41" s="66">
        <v>400.0</v>
      </c>
      <c r="AD41" s="66">
        <v>400.0</v>
      </c>
      <c r="AE41" s="66">
        <v>350.0</v>
      </c>
      <c r="AF41" s="66">
        <v>350.0</v>
      </c>
      <c r="AG41" s="66">
        <v>350.0</v>
      </c>
      <c r="AH41" s="66">
        <v>385.0</v>
      </c>
      <c r="AI41" s="66">
        <v>352.0</v>
      </c>
      <c r="AJ41" s="66">
        <v>3272.73</v>
      </c>
      <c r="AK41" s="66">
        <v>2377.05</v>
      </c>
      <c r="AL41" s="66">
        <v>3522.73</v>
      </c>
      <c r="AM41" s="66">
        <v>3000.0</v>
      </c>
      <c r="AN41" s="66">
        <v>2200.0</v>
      </c>
      <c r="AO41" s="66">
        <v>2100.0</v>
      </c>
      <c r="AP41" s="66">
        <v>2700.0</v>
      </c>
      <c r="AQ41" s="66">
        <v>2500.0</v>
      </c>
      <c r="AR41" s="67">
        <v>2600.0</v>
      </c>
    </row>
    <row r="42" ht="15.75" customHeight="1">
      <c r="A42" s="63"/>
      <c r="B42" s="65" t="s">
        <v>9</v>
      </c>
      <c r="C42" s="66">
        <v>160000.0</v>
      </c>
      <c r="D42" s="66">
        <v>180000.0</v>
      </c>
      <c r="E42" s="66">
        <v>175000.0</v>
      </c>
      <c r="F42" s="66">
        <v>150000.0</v>
      </c>
      <c r="G42" s="66">
        <v>160000.0</v>
      </c>
      <c r="H42" s="66">
        <v>140000.0</v>
      </c>
      <c r="I42" s="66">
        <v>145000.0</v>
      </c>
      <c r="J42" s="66">
        <v>140000.0</v>
      </c>
      <c r="K42" s="66">
        <v>160000.0</v>
      </c>
      <c r="L42" s="28">
        <v>68.0</v>
      </c>
      <c r="M42" s="28">
        <v>63.0</v>
      </c>
      <c r="N42" s="28">
        <v>50.0</v>
      </c>
      <c r="O42" s="28">
        <v>30.0</v>
      </c>
      <c r="P42" s="28">
        <v>30.0</v>
      </c>
      <c r="Q42" s="28">
        <v>25.0</v>
      </c>
      <c r="R42" s="28">
        <v>28.0</v>
      </c>
      <c r="S42" s="28">
        <v>15.0</v>
      </c>
      <c r="T42" s="28">
        <v>14.0</v>
      </c>
      <c r="U42" s="28">
        <v>17.0</v>
      </c>
      <c r="V42" s="28">
        <v>18.0</v>
      </c>
      <c r="W42" s="28">
        <v>21.0</v>
      </c>
      <c r="X42" s="66">
        <v>9000.0</v>
      </c>
      <c r="Y42" s="66">
        <v>5600.0</v>
      </c>
      <c r="Z42" s="66">
        <v>7000.0</v>
      </c>
      <c r="AA42" s="66">
        <v>321.43</v>
      </c>
      <c r="AB42" s="66">
        <v>373.33</v>
      </c>
      <c r="AC42" s="66">
        <v>500.0</v>
      </c>
      <c r="AD42" s="66">
        <v>400.0</v>
      </c>
      <c r="AE42" s="66">
        <v>350.0</v>
      </c>
      <c r="AF42" s="66">
        <v>350.0</v>
      </c>
      <c r="AG42" s="66">
        <v>350.0</v>
      </c>
      <c r="AH42" s="66">
        <v>360.0</v>
      </c>
      <c r="AI42" s="66">
        <v>388.0</v>
      </c>
      <c r="AJ42" s="66">
        <v>2352.94</v>
      </c>
      <c r="AK42" s="66">
        <v>2857.14</v>
      </c>
      <c r="AL42" s="66">
        <v>3500.0</v>
      </c>
      <c r="AM42" s="66">
        <v>2200.0</v>
      </c>
      <c r="AN42" s="66">
        <v>2450.0</v>
      </c>
      <c r="AO42" s="66">
        <v>3300.0</v>
      </c>
      <c r="AP42" s="66">
        <v>2700.0</v>
      </c>
      <c r="AQ42" s="66">
        <v>2500.0</v>
      </c>
      <c r="AR42" s="67">
        <v>2600.0</v>
      </c>
    </row>
    <row r="43" ht="15.75" customHeight="1">
      <c r="A43" s="63"/>
      <c r="B43" s="65" t="s">
        <v>10</v>
      </c>
      <c r="C43" s="66">
        <v>205000.0</v>
      </c>
      <c r="D43" s="66">
        <v>195000.0</v>
      </c>
      <c r="E43" s="66">
        <v>125000.0</v>
      </c>
      <c r="F43" s="66">
        <v>150000.0</v>
      </c>
      <c r="G43" s="66">
        <v>160000.0</v>
      </c>
      <c r="H43" s="66">
        <v>140000.0</v>
      </c>
      <c r="I43" s="66">
        <v>125000.0</v>
      </c>
      <c r="J43" s="66">
        <v>150000.0</v>
      </c>
      <c r="K43" s="66">
        <v>145000.0</v>
      </c>
      <c r="L43" s="28">
        <v>62.0</v>
      </c>
      <c r="M43" s="28">
        <v>51.0</v>
      </c>
      <c r="N43" s="28">
        <v>35.0</v>
      </c>
      <c r="O43" s="28">
        <v>30.0</v>
      </c>
      <c r="P43" s="28">
        <v>30.0</v>
      </c>
      <c r="Q43" s="28">
        <v>25.0</v>
      </c>
      <c r="R43" s="28">
        <v>25.0</v>
      </c>
      <c r="S43" s="28">
        <v>18.0</v>
      </c>
      <c r="T43" s="28">
        <v>20.0</v>
      </c>
      <c r="U43" s="28">
        <v>20.0</v>
      </c>
      <c r="V43" s="28">
        <v>13.0</v>
      </c>
      <c r="W43" s="28">
        <v>20.0</v>
      </c>
      <c r="X43" s="66">
        <v>10800.0</v>
      </c>
      <c r="Y43" s="66">
        <v>9500.0</v>
      </c>
      <c r="Z43" s="66">
        <v>9000.0</v>
      </c>
      <c r="AA43" s="66">
        <v>432.0</v>
      </c>
      <c r="AB43" s="66">
        <v>527.78</v>
      </c>
      <c r="AC43" s="66">
        <v>450.0</v>
      </c>
      <c r="AD43" s="66">
        <v>400.0</v>
      </c>
      <c r="AE43" s="66">
        <v>350.0</v>
      </c>
      <c r="AF43" s="66">
        <v>350.0</v>
      </c>
      <c r="AG43" s="66">
        <v>385.0</v>
      </c>
      <c r="AH43" s="66">
        <v>350.0</v>
      </c>
      <c r="AI43" s="66">
        <v>406.0</v>
      </c>
      <c r="AJ43" s="66">
        <v>3306.45</v>
      </c>
      <c r="AK43" s="66">
        <v>3823.53</v>
      </c>
      <c r="AL43" s="66">
        <v>3571.43</v>
      </c>
      <c r="AM43" s="66">
        <v>2900.0</v>
      </c>
      <c r="AN43" s="66">
        <v>3100.0</v>
      </c>
      <c r="AO43" s="66">
        <v>3100.0</v>
      </c>
      <c r="AP43" s="66">
        <v>2700.0</v>
      </c>
      <c r="AQ43" s="66">
        <v>2500.0</v>
      </c>
      <c r="AR43" s="67">
        <v>2600.0</v>
      </c>
    </row>
    <row r="44" ht="15.75" customHeight="1">
      <c r="A44" s="63"/>
      <c r="B44" s="70" t="s">
        <v>11</v>
      </c>
      <c r="C44" s="71">
        <f t="shared" ref="C44:Z44" si="5">SUM(C39:C43)</f>
        <v>850000</v>
      </c>
      <c r="D44" s="71">
        <f t="shared" si="5"/>
        <v>810000</v>
      </c>
      <c r="E44" s="71">
        <f t="shared" si="5"/>
        <v>795000</v>
      </c>
      <c r="F44" s="71">
        <f t="shared" si="5"/>
        <v>750000</v>
      </c>
      <c r="G44" s="71">
        <f t="shared" si="5"/>
        <v>800000</v>
      </c>
      <c r="H44" s="71">
        <f t="shared" si="5"/>
        <v>700000</v>
      </c>
      <c r="I44" s="71">
        <f t="shared" si="5"/>
        <v>695000</v>
      </c>
      <c r="J44" s="71">
        <f t="shared" si="5"/>
        <v>705000</v>
      </c>
      <c r="K44" s="71">
        <f t="shared" si="5"/>
        <v>690000</v>
      </c>
      <c r="L44" s="74">
        <f t="shared" si="5"/>
        <v>313</v>
      </c>
      <c r="M44" s="74">
        <f t="shared" si="5"/>
        <v>312</v>
      </c>
      <c r="N44" s="74">
        <f t="shared" si="5"/>
        <v>249</v>
      </c>
      <c r="O44" s="74">
        <f t="shared" si="5"/>
        <v>150</v>
      </c>
      <c r="P44" s="74">
        <f t="shared" si="5"/>
        <v>150</v>
      </c>
      <c r="Q44" s="74">
        <f t="shared" si="5"/>
        <v>125</v>
      </c>
      <c r="R44" s="74">
        <f t="shared" si="5"/>
        <v>122</v>
      </c>
      <c r="S44" s="74">
        <f t="shared" si="5"/>
        <v>101</v>
      </c>
      <c r="T44" s="74">
        <f t="shared" si="5"/>
        <v>88</v>
      </c>
      <c r="U44" s="74">
        <f t="shared" si="5"/>
        <v>90</v>
      </c>
      <c r="V44" s="74">
        <f t="shared" si="5"/>
        <v>91</v>
      </c>
      <c r="W44" s="74">
        <f t="shared" si="5"/>
        <v>92</v>
      </c>
      <c r="X44" s="71">
        <f t="shared" si="5"/>
        <v>44100</v>
      </c>
      <c r="Y44" s="71">
        <f t="shared" si="5"/>
        <v>39600</v>
      </c>
      <c r="Z44" s="71">
        <f t="shared" si="5"/>
        <v>35500</v>
      </c>
      <c r="AA44" s="71">
        <f t="shared" ref="AA44:AR44" si="6">AVERAGE(AA39:AA43)</f>
        <v>370.694</v>
      </c>
      <c r="AB44" s="71">
        <f t="shared" si="6"/>
        <v>406.71</v>
      </c>
      <c r="AC44" s="71">
        <f t="shared" si="6"/>
        <v>417.432</v>
      </c>
      <c r="AD44" s="71">
        <f t="shared" si="6"/>
        <v>400</v>
      </c>
      <c r="AE44" s="71">
        <f t="shared" si="6"/>
        <v>350</v>
      </c>
      <c r="AF44" s="71">
        <f t="shared" si="6"/>
        <v>350</v>
      </c>
      <c r="AG44" s="71">
        <f t="shared" si="6"/>
        <v>377.4</v>
      </c>
      <c r="AH44" s="71">
        <f t="shared" si="6"/>
        <v>354</v>
      </c>
      <c r="AI44" s="71">
        <f t="shared" si="6"/>
        <v>383.2</v>
      </c>
      <c r="AJ44" s="71">
        <f t="shared" si="6"/>
        <v>2700.218</v>
      </c>
      <c r="AK44" s="71">
        <f t="shared" si="6"/>
        <v>2659.034</v>
      </c>
      <c r="AL44" s="71">
        <f t="shared" si="6"/>
        <v>3248.902</v>
      </c>
      <c r="AM44" s="71">
        <f t="shared" si="6"/>
        <v>2480</v>
      </c>
      <c r="AN44" s="71">
        <f t="shared" si="6"/>
        <v>2350</v>
      </c>
      <c r="AO44" s="71">
        <f t="shared" si="6"/>
        <v>2660</v>
      </c>
      <c r="AP44" s="71">
        <f t="shared" si="6"/>
        <v>2700</v>
      </c>
      <c r="AQ44" s="71">
        <f t="shared" si="6"/>
        <v>2500</v>
      </c>
      <c r="AR44" s="72">
        <f t="shared" si="6"/>
        <v>2600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5.75" customHeight="1">
      <c r="A47" s="1"/>
      <c r="B47" s="77"/>
      <c r="C47" s="78" t="s">
        <v>38</v>
      </c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4"/>
    </row>
    <row r="48" ht="15.75" customHeight="1">
      <c r="A48" s="1"/>
      <c r="B48" s="79"/>
      <c r="C48" s="60" t="s">
        <v>39</v>
      </c>
      <c r="D48" s="60" t="s">
        <v>40</v>
      </c>
      <c r="E48" s="60" t="s">
        <v>41</v>
      </c>
      <c r="F48" s="60" t="s">
        <v>39</v>
      </c>
      <c r="G48" s="60" t="s">
        <v>40</v>
      </c>
      <c r="H48" s="60" t="s">
        <v>41</v>
      </c>
      <c r="I48" s="60" t="s">
        <v>39</v>
      </c>
      <c r="J48" s="60" t="s">
        <v>40</v>
      </c>
      <c r="K48" s="60" t="s">
        <v>41</v>
      </c>
      <c r="L48" s="60" t="s">
        <v>39</v>
      </c>
      <c r="M48" s="60" t="s">
        <v>40</v>
      </c>
      <c r="N48" s="60" t="s">
        <v>41</v>
      </c>
      <c r="O48" s="60" t="s">
        <v>39</v>
      </c>
      <c r="P48" s="60" t="s">
        <v>40</v>
      </c>
      <c r="Q48" s="60" t="s">
        <v>41</v>
      </c>
      <c r="R48" s="60" t="s">
        <v>39</v>
      </c>
      <c r="S48" s="60" t="s">
        <v>40</v>
      </c>
      <c r="T48" s="60" t="s">
        <v>41</v>
      </c>
      <c r="U48" s="60" t="s">
        <v>39</v>
      </c>
      <c r="V48" s="60" t="s">
        <v>40</v>
      </c>
      <c r="W48" s="60" t="s">
        <v>41</v>
      </c>
      <c r="X48" s="60" t="s">
        <v>39</v>
      </c>
      <c r="Y48" s="60" t="s">
        <v>40</v>
      </c>
      <c r="Z48" s="60" t="s">
        <v>41</v>
      </c>
      <c r="AA48" s="60" t="s">
        <v>39</v>
      </c>
      <c r="AB48" s="60" t="s">
        <v>40</v>
      </c>
      <c r="AC48" s="60" t="s">
        <v>41</v>
      </c>
      <c r="AD48" s="60" t="s">
        <v>39</v>
      </c>
      <c r="AE48" s="60" t="s">
        <v>40</v>
      </c>
      <c r="AF48" s="60" t="s">
        <v>41</v>
      </c>
      <c r="AG48" s="60" t="s">
        <v>39</v>
      </c>
      <c r="AH48" s="60" t="s">
        <v>40</v>
      </c>
      <c r="AI48" s="60" t="s">
        <v>41</v>
      </c>
      <c r="AJ48" s="60" t="s">
        <v>39</v>
      </c>
      <c r="AK48" s="60" t="s">
        <v>40</v>
      </c>
      <c r="AL48" s="60" t="s">
        <v>41</v>
      </c>
      <c r="AM48" s="60" t="s">
        <v>39</v>
      </c>
      <c r="AN48" s="60" t="s">
        <v>40</v>
      </c>
      <c r="AO48" s="60" t="s">
        <v>41</v>
      </c>
      <c r="AP48" s="60" t="s">
        <v>39</v>
      </c>
      <c r="AQ48" s="60" t="s">
        <v>40</v>
      </c>
      <c r="AR48" s="61" t="s">
        <v>41</v>
      </c>
    </row>
    <row r="49" ht="15.75" customHeight="1">
      <c r="A49" s="1"/>
      <c r="B49" s="79"/>
      <c r="C49" s="60" t="s">
        <v>20</v>
      </c>
      <c r="D49" s="60" t="s">
        <v>20</v>
      </c>
      <c r="E49" s="60" t="s">
        <v>20</v>
      </c>
      <c r="F49" s="60" t="s">
        <v>21</v>
      </c>
      <c r="G49" s="60" t="s">
        <v>21</v>
      </c>
      <c r="H49" s="60" t="s">
        <v>21</v>
      </c>
      <c r="I49" s="60" t="s">
        <v>22</v>
      </c>
      <c r="J49" s="60" t="s">
        <v>22</v>
      </c>
      <c r="K49" s="60" t="s">
        <v>22</v>
      </c>
      <c r="L49" s="60" t="s">
        <v>23</v>
      </c>
      <c r="M49" s="60" t="s">
        <v>23</v>
      </c>
      <c r="N49" s="60" t="s">
        <v>23</v>
      </c>
      <c r="O49" s="60" t="s">
        <v>24</v>
      </c>
      <c r="P49" s="60" t="s">
        <v>24</v>
      </c>
      <c r="Q49" s="60" t="s">
        <v>24</v>
      </c>
      <c r="R49" s="60" t="s">
        <v>25</v>
      </c>
      <c r="S49" s="60" t="s">
        <v>25</v>
      </c>
      <c r="T49" s="60" t="s">
        <v>25</v>
      </c>
      <c r="U49" s="60" t="s">
        <v>26</v>
      </c>
      <c r="V49" s="60" t="s">
        <v>26</v>
      </c>
      <c r="W49" s="60" t="s">
        <v>26</v>
      </c>
      <c r="X49" s="60" t="s">
        <v>27</v>
      </c>
      <c r="Y49" s="60" t="s">
        <v>27</v>
      </c>
      <c r="Z49" s="60" t="s">
        <v>27</v>
      </c>
      <c r="AA49" s="60" t="s">
        <v>28</v>
      </c>
      <c r="AB49" s="60" t="s">
        <v>28</v>
      </c>
      <c r="AC49" s="60" t="s">
        <v>28</v>
      </c>
      <c r="AD49" s="60" t="s">
        <v>29</v>
      </c>
      <c r="AE49" s="60" t="s">
        <v>29</v>
      </c>
      <c r="AF49" s="60" t="s">
        <v>29</v>
      </c>
      <c r="AG49" s="60" t="s">
        <v>30</v>
      </c>
      <c r="AH49" s="60" t="s">
        <v>30</v>
      </c>
      <c r="AI49" s="60" t="s">
        <v>30</v>
      </c>
      <c r="AJ49" s="60" t="s">
        <v>31</v>
      </c>
      <c r="AK49" s="60" t="s">
        <v>31</v>
      </c>
      <c r="AL49" s="60" t="s">
        <v>31</v>
      </c>
      <c r="AM49" s="60" t="s">
        <v>32</v>
      </c>
      <c r="AN49" s="60" t="s">
        <v>32</v>
      </c>
      <c r="AO49" s="60" t="s">
        <v>32</v>
      </c>
      <c r="AP49" s="60" t="s">
        <v>33</v>
      </c>
      <c r="AQ49" s="60" t="s">
        <v>33</v>
      </c>
      <c r="AR49" s="61" t="s">
        <v>33</v>
      </c>
    </row>
    <row r="50" ht="15.75" customHeight="1">
      <c r="A50" s="63"/>
      <c r="B50" s="65" t="s">
        <v>6</v>
      </c>
      <c r="C50" s="66">
        <v>150000.0</v>
      </c>
      <c r="D50" s="66">
        <v>145000.0</v>
      </c>
      <c r="E50" s="66">
        <v>145000.0</v>
      </c>
      <c r="F50" s="66">
        <v>160000.0</v>
      </c>
      <c r="G50" s="66">
        <v>145000.0</v>
      </c>
      <c r="H50" s="66">
        <v>160000.0</v>
      </c>
      <c r="I50" s="66">
        <v>160000.0</v>
      </c>
      <c r="J50" s="66">
        <v>125000.0</v>
      </c>
      <c r="K50" s="66">
        <v>145000.0</v>
      </c>
      <c r="L50" s="28">
        <v>55.0</v>
      </c>
      <c r="M50" s="28">
        <v>55.0</v>
      </c>
      <c r="N50" s="28">
        <v>60.0</v>
      </c>
      <c r="O50" s="28">
        <v>20.0</v>
      </c>
      <c r="P50" s="28">
        <v>25.0</v>
      </c>
      <c r="Q50" s="28">
        <v>35.0</v>
      </c>
      <c r="R50" s="28">
        <v>14.0</v>
      </c>
      <c r="S50" s="28">
        <v>18.0</v>
      </c>
      <c r="T50" s="28">
        <v>17.0</v>
      </c>
      <c r="U50" s="28">
        <v>21.0</v>
      </c>
      <c r="V50" s="28">
        <v>15.0</v>
      </c>
      <c r="W50" s="28">
        <v>11.0</v>
      </c>
      <c r="X50" s="66">
        <v>8000.0</v>
      </c>
      <c r="Y50" s="66">
        <v>6000.0</v>
      </c>
      <c r="Z50" s="66">
        <v>4000.0</v>
      </c>
      <c r="AA50" s="66">
        <v>571.43</v>
      </c>
      <c r="AB50" s="66">
        <v>333.33</v>
      </c>
      <c r="AC50" s="66">
        <v>235.29</v>
      </c>
      <c r="AD50" s="66">
        <v>350.0</v>
      </c>
      <c r="AE50" s="66">
        <v>450.0</v>
      </c>
      <c r="AF50" s="66">
        <v>350.0</v>
      </c>
      <c r="AG50" s="66">
        <v>400.0</v>
      </c>
      <c r="AH50" s="66">
        <v>385.0</v>
      </c>
      <c r="AI50" s="66">
        <v>390.0</v>
      </c>
      <c r="AJ50" s="66">
        <v>2909.09</v>
      </c>
      <c r="AK50" s="66">
        <v>2636.36</v>
      </c>
      <c r="AL50" s="66">
        <v>2416.67</v>
      </c>
      <c r="AM50" s="66">
        <v>2800.0</v>
      </c>
      <c r="AN50" s="66">
        <v>2500.0</v>
      </c>
      <c r="AO50" s="66">
        <v>2300.0</v>
      </c>
      <c r="AP50" s="66">
        <v>2200.0</v>
      </c>
      <c r="AQ50" s="66">
        <v>2300.0</v>
      </c>
      <c r="AR50" s="67">
        <v>2500.0</v>
      </c>
    </row>
    <row r="51" ht="15.75" customHeight="1">
      <c r="A51" s="63"/>
      <c r="B51" s="65" t="s">
        <v>7</v>
      </c>
      <c r="C51" s="66">
        <v>185000.0</v>
      </c>
      <c r="D51" s="66">
        <v>150000.0</v>
      </c>
      <c r="E51" s="66">
        <v>185000.0</v>
      </c>
      <c r="F51" s="66">
        <v>160000.0</v>
      </c>
      <c r="G51" s="66">
        <v>145000.0</v>
      </c>
      <c r="H51" s="66">
        <v>160000.0</v>
      </c>
      <c r="I51" s="66">
        <v>125000.0</v>
      </c>
      <c r="J51" s="66">
        <v>130000.0</v>
      </c>
      <c r="K51" s="66">
        <v>120000.0</v>
      </c>
      <c r="L51" s="28">
        <v>56.0</v>
      </c>
      <c r="M51" s="28">
        <v>45.0</v>
      </c>
      <c r="N51" s="28">
        <v>65.0</v>
      </c>
      <c r="O51" s="28">
        <v>20.0</v>
      </c>
      <c r="P51" s="28">
        <v>25.0</v>
      </c>
      <c r="Q51" s="28">
        <v>35.0</v>
      </c>
      <c r="R51" s="28">
        <v>15.0</v>
      </c>
      <c r="S51" s="28">
        <v>25.0</v>
      </c>
      <c r="T51" s="28">
        <v>25.0</v>
      </c>
      <c r="U51" s="28">
        <v>14.0</v>
      </c>
      <c r="V51" s="28">
        <v>22.0</v>
      </c>
      <c r="W51" s="28">
        <v>12.0</v>
      </c>
      <c r="X51" s="66">
        <v>5500.0</v>
      </c>
      <c r="Y51" s="66">
        <v>8500.0</v>
      </c>
      <c r="Z51" s="66">
        <v>5000.0</v>
      </c>
      <c r="AA51" s="66">
        <v>366.67</v>
      </c>
      <c r="AB51" s="66">
        <v>340.0</v>
      </c>
      <c r="AC51" s="66">
        <v>200.0</v>
      </c>
      <c r="AD51" s="66">
        <v>350.0</v>
      </c>
      <c r="AE51" s="66">
        <v>450.0</v>
      </c>
      <c r="AF51" s="66">
        <v>350.0</v>
      </c>
      <c r="AG51" s="66">
        <v>380.0</v>
      </c>
      <c r="AH51" s="66">
        <v>400.0</v>
      </c>
      <c r="AI51" s="66">
        <v>388.0</v>
      </c>
      <c r="AJ51" s="66">
        <v>3303.57</v>
      </c>
      <c r="AK51" s="66">
        <v>3333.33</v>
      </c>
      <c r="AL51" s="66">
        <v>2846.15</v>
      </c>
      <c r="AM51" s="66">
        <v>2500.0</v>
      </c>
      <c r="AN51" s="66">
        <v>3000.0</v>
      </c>
      <c r="AO51" s="66">
        <v>2000.0</v>
      </c>
      <c r="AP51" s="66">
        <v>2200.0</v>
      </c>
      <c r="AQ51" s="66">
        <v>2300.0</v>
      </c>
      <c r="AR51" s="67">
        <v>2500.0</v>
      </c>
    </row>
    <row r="52" ht="15.75" customHeight="1">
      <c r="A52" s="63"/>
      <c r="B52" s="65" t="s">
        <v>8</v>
      </c>
      <c r="C52" s="66">
        <v>150000.0</v>
      </c>
      <c r="D52" s="66">
        <v>125000.0</v>
      </c>
      <c r="E52" s="66">
        <v>120000.0</v>
      </c>
      <c r="F52" s="66">
        <v>160000.0</v>
      </c>
      <c r="G52" s="66">
        <v>145000.0</v>
      </c>
      <c r="H52" s="66">
        <v>160000.0</v>
      </c>
      <c r="I52" s="66">
        <v>130000.0</v>
      </c>
      <c r="J52" s="66">
        <v>150000.0</v>
      </c>
      <c r="K52" s="66">
        <v>125000.0</v>
      </c>
      <c r="L52" s="28">
        <v>56.0</v>
      </c>
      <c r="M52" s="28">
        <v>65.0</v>
      </c>
      <c r="N52" s="28">
        <v>50.0</v>
      </c>
      <c r="O52" s="28">
        <v>20.0</v>
      </c>
      <c r="P52" s="28">
        <v>25.0</v>
      </c>
      <c r="Q52" s="28">
        <v>35.0</v>
      </c>
      <c r="R52" s="28">
        <v>22.0</v>
      </c>
      <c r="S52" s="28">
        <v>17.0</v>
      </c>
      <c r="T52" s="28">
        <v>17.0</v>
      </c>
      <c r="U52" s="28">
        <v>25.0</v>
      </c>
      <c r="V52" s="28">
        <v>17.0</v>
      </c>
      <c r="W52" s="28">
        <v>21.0</v>
      </c>
      <c r="X52" s="66">
        <v>9000.0</v>
      </c>
      <c r="Y52" s="66">
        <v>6500.0</v>
      </c>
      <c r="Z52" s="66">
        <v>6500.0</v>
      </c>
      <c r="AA52" s="66">
        <v>409.09</v>
      </c>
      <c r="AB52" s="66">
        <v>382.35</v>
      </c>
      <c r="AC52" s="66">
        <v>382.35</v>
      </c>
      <c r="AD52" s="66">
        <v>350.0</v>
      </c>
      <c r="AE52" s="66">
        <v>450.0</v>
      </c>
      <c r="AF52" s="66">
        <v>350.0</v>
      </c>
      <c r="AG52" s="66">
        <v>365.0</v>
      </c>
      <c r="AH52" s="66">
        <v>350.0</v>
      </c>
      <c r="AI52" s="66">
        <v>352.0</v>
      </c>
      <c r="AJ52" s="66">
        <v>2678.57</v>
      </c>
      <c r="AK52" s="66">
        <v>1923.08</v>
      </c>
      <c r="AL52" s="66">
        <v>2400.0</v>
      </c>
      <c r="AM52" s="66">
        <v>2600.0</v>
      </c>
      <c r="AN52" s="66">
        <v>1800.0</v>
      </c>
      <c r="AO52" s="66">
        <v>2200.0</v>
      </c>
      <c r="AP52" s="66">
        <v>2200.0</v>
      </c>
      <c r="AQ52" s="66">
        <v>2300.0</v>
      </c>
      <c r="AR52" s="67">
        <v>2500.0</v>
      </c>
    </row>
    <row r="53" ht="15.75" customHeight="1">
      <c r="A53" s="63"/>
      <c r="B53" s="65" t="s">
        <v>9</v>
      </c>
      <c r="C53" s="66">
        <v>155000.0</v>
      </c>
      <c r="D53" s="66">
        <v>155000.0</v>
      </c>
      <c r="E53" s="66">
        <v>155000.0</v>
      </c>
      <c r="F53" s="66">
        <v>160000.0</v>
      </c>
      <c r="G53" s="66">
        <v>145000.0</v>
      </c>
      <c r="H53" s="66">
        <v>160000.0</v>
      </c>
      <c r="I53" s="66">
        <v>150000.0</v>
      </c>
      <c r="J53" s="66">
        <v>155000.0</v>
      </c>
      <c r="K53" s="66">
        <v>160000.0</v>
      </c>
      <c r="L53" s="28">
        <v>62.0</v>
      </c>
      <c r="M53" s="28">
        <v>52.0</v>
      </c>
      <c r="N53" s="28">
        <v>52.0</v>
      </c>
      <c r="O53" s="28">
        <v>20.0</v>
      </c>
      <c r="P53" s="28">
        <v>25.0</v>
      </c>
      <c r="Q53" s="28">
        <v>35.0</v>
      </c>
      <c r="R53" s="28">
        <v>21.0</v>
      </c>
      <c r="S53" s="28">
        <v>24.0</v>
      </c>
      <c r="T53" s="28">
        <v>22.0</v>
      </c>
      <c r="U53" s="28">
        <v>17.0</v>
      </c>
      <c r="V53" s="28">
        <v>16.0</v>
      </c>
      <c r="W53" s="28">
        <v>23.0</v>
      </c>
      <c r="X53" s="66">
        <v>6200.0</v>
      </c>
      <c r="Y53" s="66">
        <v>6300.0</v>
      </c>
      <c r="Z53" s="66">
        <v>9000.0</v>
      </c>
      <c r="AA53" s="66">
        <v>295.24</v>
      </c>
      <c r="AB53" s="66">
        <v>262.5</v>
      </c>
      <c r="AC53" s="66">
        <v>409.09</v>
      </c>
      <c r="AD53" s="66">
        <v>350.0</v>
      </c>
      <c r="AE53" s="66">
        <v>450.0</v>
      </c>
      <c r="AF53" s="66">
        <v>350.0</v>
      </c>
      <c r="AG53" s="66">
        <v>405.0</v>
      </c>
      <c r="AH53" s="66">
        <v>370.0</v>
      </c>
      <c r="AI53" s="66">
        <v>350.0</v>
      </c>
      <c r="AJ53" s="66">
        <v>2500.0</v>
      </c>
      <c r="AK53" s="66">
        <v>2980.77</v>
      </c>
      <c r="AL53" s="66">
        <v>2980.77</v>
      </c>
      <c r="AM53" s="66">
        <v>2400.0</v>
      </c>
      <c r="AN53" s="66">
        <v>2800.0</v>
      </c>
      <c r="AO53" s="66">
        <v>2890.0</v>
      </c>
      <c r="AP53" s="66">
        <v>2200.0</v>
      </c>
      <c r="AQ53" s="66">
        <v>2300.0</v>
      </c>
      <c r="AR53" s="67">
        <v>2500.0</v>
      </c>
    </row>
    <row r="54" ht="15.75" customHeight="1">
      <c r="A54" s="63"/>
      <c r="B54" s="65" t="s">
        <v>10</v>
      </c>
      <c r="C54" s="66">
        <v>140000.0</v>
      </c>
      <c r="D54" s="66">
        <v>170000.0</v>
      </c>
      <c r="E54" s="66">
        <v>155000.0</v>
      </c>
      <c r="F54" s="66">
        <v>160000.0</v>
      </c>
      <c r="G54" s="66">
        <v>145000.0</v>
      </c>
      <c r="H54" s="66">
        <v>160000.0</v>
      </c>
      <c r="I54" s="66">
        <v>150000.0</v>
      </c>
      <c r="J54" s="66">
        <v>180000.0</v>
      </c>
      <c r="K54" s="66">
        <v>140000.0</v>
      </c>
      <c r="L54" s="28">
        <v>65.0</v>
      </c>
      <c r="M54" s="28">
        <v>50.0</v>
      </c>
      <c r="N54" s="28">
        <v>70.0</v>
      </c>
      <c r="O54" s="28">
        <v>20.0</v>
      </c>
      <c r="P54" s="28">
        <v>25.0</v>
      </c>
      <c r="Q54" s="28">
        <v>35.0</v>
      </c>
      <c r="R54" s="28">
        <v>30.0</v>
      </c>
      <c r="S54" s="28">
        <v>16.0</v>
      </c>
      <c r="T54" s="28">
        <v>18.0</v>
      </c>
      <c r="U54" s="28">
        <v>25.0</v>
      </c>
      <c r="V54" s="28">
        <v>21.0</v>
      </c>
      <c r="W54" s="28">
        <v>20.0</v>
      </c>
      <c r="X54" s="66">
        <v>9800.0</v>
      </c>
      <c r="Y54" s="66">
        <v>8000.0</v>
      </c>
      <c r="Z54" s="66">
        <v>7500.0</v>
      </c>
      <c r="AA54" s="66">
        <v>326.67</v>
      </c>
      <c r="AB54" s="66">
        <v>500.0</v>
      </c>
      <c r="AC54" s="66">
        <v>416.67</v>
      </c>
      <c r="AD54" s="66">
        <v>350.0</v>
      </c>
      <c r="AE54" s="66">
        <v>450.0</v>
      </c>
      <c r="AF54" s="66">
        <v>350.0</v>
      </c>
      <c r="AG54" s="66">
        <v>385.0</v>
      </c>
      <c r="AH54" s="66">
        <v>350.0</v>
      </c>
      <c r="AI54" s="66">
        <v>410.0</v>
      </c>
      <c r="AJ54" s="66">
        <v>2153.85</v>
      </c>
      <c r="AK54" s="66">
        <v>3400.0</v>
      </c>
      <c r="AL54" s="66">
        <v>2214.29</v>
      </c>
      <c r="AM54" s="66">
        <v>1900.0</v>
      </c>
      <c r="AN54" s="66">
        <v>3000.0</v>
      </c>
      <c r="AO54" s="66">
        <v>2100.0</v>
      </c>
      <c r="AP54" s="66">
        <v>2200.0</v>
      </c>
      <c r="AQ54" s="66">
        <v>2300.0</v>
      </c>
      <c r="AR54" s="67">
        <v>2500.0</v>
      </c>
    </row>
    <row r="55" ht="15.75" customHeight="1">
      <c r="A55" s="63"/>
      <c r="B55" s="70" t="s">
        <v>11</v>
      </c>
      <c r="C55" s="71">
        <f t="shared" ref="C55:Z55" si="7">SUM(C50:C54)</f>
        <v>780000</v>
      </c>
      <c r="D55" s="71">
        <f t="shared" si="7"/>
        <v>745000</v>
      </c>
      <c r="E55" s="71">
        <f t="shared" si="7"/>
        <v>760000</v>
      </c>
      <c r="F55" s="71">
        <f t="shared" si="7"/>
        <v>800000</v>
      </c>
      <c r="G55" s="71">
        <f t="shared" si="7"/>
        <v>725000</v>
      </c>
      <c r="H55" s="71">
        <f t="shared" si="7"/>
        <v>800000</v>
      </c>
      <c r="I55" s="71">
        <f t="shared" si="7"/>
        <v>715000</v>
      </c>
      <c r="J55" s="71">
        <f t="shared" si="7"/>
        <v>740000</v>
      </c>
      <c r="K55" s="71">
        <f t="shared" si="7"/>
        <v>690000</v>
      </c>
      <c r="L55" s="74">
        <f t="shared" si="7"/>
        <v>294</v>
      </c>
      <c r="M55" s="74">
        <f t="shared" si="7"/>
        <v>267</v>
      </c>
      <c r="N55" s="74">
        <f t="shared" si="7"/>
        <v>297</v>
      </c>
      <c r="O55" s="74">
        <f t="shared" si="7"/>
        <v>100</v>
      </c>
      <c r="P55" s="74">
        <f t="shared" si="7"/>
        <v>125</v>
      </c>
      <c r="Q55" s="74">
        <f t="shared" si="7"/>
        <v>175</v>
      </c>
      <c r="R55" s="74">
        <f t="shared" si="7"/>
        <v>102</v>
      </c>
      <c r="S55" s="74">
        <f t="shared" si="7"/>
        <v>100</v>
      </c>
      <c r="T55" s="74">
        <f t="shared" si="7"/>
        <v>99</v>
      </c>
      <c r="U55" s="74">
        <f t="shared" si="7"/>
        <v>102</v>
      </c>
      <c r="V55" s="74">
        <f t="shared" si="7"/>
        <v>91</v>
      </c>
      <c r="W55" s="74">
        <f t="shared" si="7"/>
        <v>87</v>
      </c>
      <c r="X55" s="71">
        <f t="shared" si="7"/>
        <v>38500</v>
      </c>
      <c r="Y55" s="71">
        <f t="shared" si="7"/>
        <v>35300</v>
      </c>
      <c r="Z55" s="71">
        <f t="shared" si="7"/>
        <v>32000</v>
      </c>
      <c r="AA55" s="71">
        <f t="shared" ref="AA55:AR55" si="8">AVERAGE(AA50:AA54)</f>
        <v>393.82</v>
      </c>
      <c r="AB55" s="71">
        <f t="shared" si="8"/>
        <v>363.636</v>
      </c>
      <c r="AC55" s="71">
        <f t="shared" si="8"/>
        <v>328.68</v>
      </c>
      <c r="AD55" s="71">
        <f t="shared" si="8"/>
        <v>350</v>
      </c>
      <c r="AE55" s="71">
        <f t="shared" si="8"/>
        <v>450</v>
      </c>
      <c r="AF55" s="71">
        <f t="shared" si="8"/>
        <v>350</v>
      </c>
      <c r="AG55" s="71">
        <f t="shared" si="8"/>
        <v>387</v>
      </c>
      <c r="AH55" s="71">
        <f t="shared" si="8"/>
        <v>371</v>
      </c>
      <c r="AI55" s="71">
        <f t="shared" si="8"/>
        <v>378</v>
      </c>
      <c r="AJ55" s="71">
        <f t="shared" si="8"/>
        <v>2709.016</v>
      </c>
      <c r="AK55" s="71">
        <f t="shared" si="8"/>
        <v>2854.708</v>
      </c>
      <c r="AL55" s="71">
        <f t="shared" si="8"/>
        <v>2571.576</v>
      </c>
      <c r="AM55" s="71">
        <f t="shared" si="8"/>
        <v>2440</v>
      </c>
      <c r="AN55" s="71">
        <f t="shared" si="8"/>
        <v>2620</v>
      </c>
      <c r="AO55" s="71">
        <f t="shared" si="8"/>
        <v>2298</v>
      </c>
      <c r="AP55" s="71">
        <f t="shared" si="8"/>
        <v>2200</v>
      </c>
      <c r="AQ55" s="71">
        <f t="shared" si="8"/>
        <v>2300</v>
      </c>
      <c r="AR55" s="72">
        <f t="shared" si="8"/>
        <v>2500</v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5.75" customHeight="1">
      <c r="A58" s="1"/>
      <c r="B58" s="77"/>
      <c r="C58" s="78" t="s">
        <v>42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4"/>
    </row>
    <row r="59" ht="15.75" customHeight="1">
      <c r="A59" s="1"/>
      <c r="B59" s="79"/>
      <c r="C59" s="60" t="s">
        <v>43</v>
      </c>
      <c r="D59" s="60" t="s">
        <v>44</v>
      </c>
      <c r="E59" s="60" t="s">
        <v>45</v>
      </c>
      <c r="F59" s="60" t="s">
        <v>43</v>
      </c>
      <c r="G59" s="60" t="s">
        <v>44</v>
      </c>
      <c r="H59" s="60" t="s">
        <v>45</v>
      </c>
      <c r="I59" s="60" t="s">
        <v>43</v>
      </c>
      <c r="J59" s="60" t="s">
        <v>44</v>
      </c>
      <c r="K59" s="60" t="s">
        <v>45</v>
      </c>
      <c r="L59" s="60" t="s">
        <v>43</v>
      </c>
      <c r="M59" s="60" t="s">
        <v>44</v>
      </c>
      <c r="N59" s="60" t="s">
        <v>45</v>
      </c>
      <c r="O59" s="60" t="s">
        <v>43</v>
      </c>
      <c r="P59" s="60" t="s">
        <v>44</v>
      </c>
      <c r="Q59" s="60" t="s">
        <v>45</v>
      </c>
      <c r="R59" s="60" t="s">
        <v>43</v>
      </c>
      <c r="S59" s="60" t="s">
        <v>44</v>
      </c>
      <c r="T59" s="60" t="s">
        <v>45</v>
      </c>
      <c r="U59" s="60" t="s">
        <v>43</v>
      </c>
      <c r="V59" s="60" t="s">
        <v>44</v>
      </c>
      <c r="W59" s="60" t="s">
        <v>45</v>
      </c>
      <c r="X59" s="60" t="s">
        <v>43</v>
      </c>
      <c r="Y59" s="60" t="s">
        <v>44</v>
      </c>
      <c r="Z59" s="60" t="s">
        <v>45</v>
      </c>
      <c r="AA59" s="60" t="s">
        <v>43</v>
      </c>
      <c r="AB59" s="60" t="s">
        <v>44</v>
      </c>
      <c r="AC59" s="60" t="s">
        <v>45</v>
      </c>
      <c r="AD59" s="60" t="s">
        <v>43</v>
      </c>
      <c r="AE59" s="60" t="s">
        <v>44</v>
      </c>
      <c r="AF59" s="60" t="s">
        <v>45</v>
      </c>
      <c r="AG59" s="60" t="s">
        <v>43</v>
      </c>
      <c r="AH59" s="60" t="s">
        <v>44</v>
      </c>
      <c r="AI59" s="60" t="s">
        <v>45</v>
      </c>
      <c r="AJ59" s="60" t="s">
        <v>43</v>
      </c>
      <c r="AK59" s="60" t="s">
        <v>44</v>
      </c>
      <c r="AL59" s="60" t="s">
        <v>45</v>
      </c>
      <c r="AM59" s="60" t="s">
        <v>43</v>
      </c>
      <c r="AN59" s="60" t="s">
        <v>44</v>
      </c>
      <c r="AO59" s="60" t="s">
        <v>45</v>
      </c>
      <c r="AP59" s="60" t="s">
        <v>43</v>
      </c>
      <c r="AQ59" s="60" t="s">
        <v>44</v>
      </c>
      <c r="AR59" s="61" t="s">
        <v>45</v>
      </c>
    </row>
    <row r="60" ht="15.75" customHeight="1">
      <c r="A60" s="1"/>
      <c r="B60" s="79"/>
      <c r="C60" s="60" t="s">
        <v>20</v>
      </c>
      <c r="D60" s="60" t="s">
        <v>20</v>
      </c>
      <c r="E60" s="60" t="s">
        <v>20</v>
      </c>
      <c r="F60" s="60" t="s">
        <v>21</v>
      </c>
      <c r="G60" s="60" t="s">
        <v>21</v>
      </c>
      <c r="H60" s="60" t="s">
        <v>21</v>
      </c>
      <c r="I60" s="60" t="s">
        <v>22</v>
      </c>
      <c r="J60" s="60" t="s">
        <v>22</v>
      </c>
      <c r="K60" s="60" t="s">
        <v>22</v>
      </c>
      <c r="L60" s="60" t="s">
        <v>23</v>
      </c>
      <c r="M60" s="60" t="s">
        <v>23</v>
      </c>
      <c r="N60" s="60" t="s">
        <v>23</v>
      </c>
      <c r="O60" s="60" t="s">
        <v>24</v>
      </c>
      <c r="P60" s="60" t="s">
        <v>24</v>
      </c>
      <c r="Q60" s="60" t="s">
        <v>24</v>
      </c>
      <c r="R60" s="60" t="s">
        <v>25</v>
      </c>
      <c r="S60" s="60" t="s">
        <v>25</v>
      </c>
      <c r="T60" s="60" t="s">
        <v>25</v>
      </c>
      <c r="U60" s="60" t="s">
        <v>26</v>
      </c>
      <c r="V60" s="60" t="s">
        <v>26</v>
      </c>
      <c r="W60" s="60" t="s">
        <v>26</v>
      </c>
      <c r="X60" s="60" t="s">
        <v>27</v>
      </c>
      <c r="Y60" s="60" t="s">
        <v>27</v>
      </c>
      <c r="Z60" s="60" t="s">
        <v>27</v>
      </c>
      <c r="AA60" s="60" t="s">
        <v>28</v>
      </c>
      <c r="AB60" s="60" t="s">
        <v>28</v>
      </c>
      <c r="AC60" s="60" t="s">
        <v>28</v>
      </c>
      <c r="AD60" s="60" t="s">
        <v>29</v>
      </c>
      <c r="AE60" s="60" t="s">
        <v>29</v>
      </c>
      <c r="AF60" s="60" t="s">
        <v>29</v>
      </c>
      <c r="AG60" s="60" t="s">
        <v>30</v>
      </c>
      <c r="AH60" s="60" t="s">
        <v>30</v>
      </c>
      <c r="AI60" s="60" t="s">
        <v>30</v>
      </c>
      <c r="AJ60" s="60" t="s">
        <v>31</v>
      </c>
      <c r="AK60" s="60" t="s">
        <v>31</v>
      </c>
      <c r="AL60" s="60" t="s">
        <v>31</v>
      </c>
      <c r="AM60" s="60" t="s">
        <v>32</v>
      </c>
      <c r="AN60" s="60" t="s">
        <v>32</v>
      </c>
      <c r="AO60" s="60" t="s">
        <v>32</v>
      </c>
      <c r="AP60" s="60" t="s">
        <v>33</v>
      </c>
      <c r="AQ60" s="60" t="s">
        <v>33</v>
      </c>
      <c r="AR60" s="61" t="s">
        <v>33</v>
      </c>
    </row>
    <row r="61" ht="15.75" customHeight="1">
      <c r="A61" s="63"/>
      <c r="B61" s="65" t="s">
        <v>6</v>
      </c>
      <c r="C61" s="66">
        <v>145000.0</v>
      </c>
      <c r="D61" s="66">
        <v>150000.0</v>
      </c>
      <c r="E61" s="66">
        <v>150000.0</v>
      </c>
      <c r="F61" s="66">
        <v>165000.0</v>
      </c>
      <c r="G61" s="66">
        <v>155000.0</v>
      </c>
      <c r="H61" s="66">
        <v>145000.0</v>
      </c>
      <c r="I61" s="66">
        <v>155000.0</v>
      </c>
      <c r="J61" s="66">
        <v>125000.0</v>
      </c>
      <c r="K61" s="66">
        <v>145000.0</v>
      </c>
      <c r="L61" s="28">
        <v>75.0</v>
      </c>
      <c r="M61" s="28">
        <v>76.0</v>
      </c>
      <c r="N61" s="28">
        <v>80.0</v>
      </c>
      <c r="O61" s="28">
        <v>20.0</v>
      </c>
      <c r="P61" s="28">
        <v>20.0</v>
      </c>
      <c r="Q61" s="28">
        <v>20.0</v>
      </c>
      <c r="R61" s="28">
        <v>15.0</v>
      </c>
      <c r="S61" s="28">
        <v>22.0</v>
      </c>
      <c r="T61" s="28">
        <v>25.0</v>
      </c>
      <c r="U61" s="28">
        <v>21.0</v>
      </c>
      <c r="V61" s="28">
        <v>17.0</v>
      </c>
      <c r="W61" s="28">
        <v>16.0</v>
      </c>
      <c r="X61" s="66">
        <v>4700.0</v>
      </c>
      <c r="Y61" s="66">
        <v>7000.0</v>
      </c>
      <c r="Z61" s="66">
        <v>6000.0</v>
      </c>
      <c r="AA61" s="66">
        <v>313.33</v>
      </c>
      <c r="AB61" s="66">
        <v>318.18</v>
      </c>
      <c r="AC61" s="66">
        <v>240.0</v>
      </c>
      <c r="AD61" s="66">
        <v>350.0</v>
      </c>
      <c r="AE61" s="66">
        <v>350.0</v>
      </c>
      <c r="AF61" s="66">
        <v>300.0</v>
      </c>
      <c r="AG61" s="66">
        <v>410.0</v>
      </c>
      <c r="AH61" s="66">
        <v>385.0</v>
      </c>
      <c r="AI61" s="66">
        <v>390.0</v>
      </c>
      <c r="AJ61" s="66">
        <v>1866.67</v>
      </c>
      <c r="AK61" s="66">
        <v>1973.68</v>
      </c>
      <c r="AL61" s="66">
        <v>1875.0</v>
      </c>
      <c r="AM61" s="66">
        <v>2500.0</v>
      </c>
      <c r="AN61" s="66">
        <v>2700.0</v>
      </c>
      <c r="AO61" s="66">
        <v>2400.0</v>
      </c>
      <c r="AP61" s="66">
        <v>2450.0</v>
      </c>
      <c r="AQ61" s="66">
        <v>2700.0</v>
      </c>
      <c r="AR61" s="67">
        <v>2350.0</v>
      </c>
    </row>
    <row r="62" ht="15.75" customHeight="1">
      <c r="A62" s="63"/>
      <c r="B62" s="65" t="s">
        <v>7</v>
      </c>
      <c r="C62" s="66">
        <v>115000.0</v>
      </c>
      <c r="D62" s="66">
        <v>140000.0</v>
      </c>
      <c r="E62" s="66">
        <v>170000.0</v>
      </c>
      <c r="F62" s="66">
        <v>165000.0</v>
      </c>
      <c r="G62" s="66">
        <v>155000.0</v>
      </c>
      <c r="H62" s="66">
        <v>145000.0</v>
      </c>
      <c r="I62" s="66">
        <v>140000.0</v>
      </c>
      <c r="J62" s="66">
        <v>125000.0</v>
      </c>
      <c r="K62" s="66">
        <v>130000.0</v>
      </c>
      <c r="L62" s="28">
        <v>65.0</v>
      </c>
      <c r="M62" s="28">
        <v>85.0</v>
      </c>
      <c r="N62" s="28">
        <v>70.0</v>
      </c>
      <c r="O62" s="28">
        <v>20.0</v>
      </c>
      <c r="P62" s="28">
        <v>20.0</v>
      </c>
      <c r="Q62" s="28">
        <v>20.0</v>
      </c>
      <c r="R62" s="28">
        <v>25.0</v>
      </c>
      <c r="S62" s="28">
        <v>18.0</v>
      </c>
      <c r="T62" s="28">
        <v>24.0</v>
      </c>
      <c r="U62" s="28">
        <v>16.0</v>
      </c>
      <c r="V62" s="28">
        <v>14.0</v>
      </c>
      <c r="W62" s="28">
        <v>21.0</v>
      </c>
      <c r="X62" s="66">
        <v>6000.0</v>
      </c>
      <c r="Y62" s="66">
        <v>5000.0</v>
      </c>
      <c r="Z62" s="66">
        <v>8500.0</v>
      </c>
      <c r="AA62" s="66">
        <v>240.0</v>
      </c>
      <c r="AB62" s="66">
        <v>277.78</v>
      </c>
      <c r="AC62" s="66">
        <v>354.17</v>
      </c>
      <c r="AD62" s="66">
        <v>350.0</v>
      </c>
      <c r="AE62" s="66">
        <v>350.0</v>
      </c>
      <c r="AF62" s="66">
        <v>300.0</v>
      </c>
      <c r="AG62" s="66">
        <v>408.0</v>
      </c>
      <c r="AH62" s="66">
        <v>350.0</v>
      </c>
      <c r="AI62" s="66">
        <v>370.0</v>
      </c>
      <c r="AJ62" s="66">
        <v>1769.23</v>
      </c>
      <c r="AK62" s="66">
        <v>1647.06</v>
      </c>
      <c r="AL62" s="66">
        <v>2428.57</v>
      </c>
      <c r="AM62" s="66">
        <v>1800.0</v>
      </c>
      <c r="AN62" s="66">
        <v>2200.0</v>
      </c>
      <c r="AO62" s="66">
        <v>2300.0</v>
      </c>
      <c r="AP62" s="66">
        <v>2450.0</v>
      </c>
      <c r="AQ62" s="66">
        <v>2700.0</v>
      </c>
      <c r="AR62" s="67">
        <v>2350.0</v>
      </c>
    </row>
    <row r="63" ht="15.75" customHeight="1">
      <c r="A63" s="63"/>
      <c r="B63" s="65" t="s">
        <v>8</v>
      </c>
      <c r="C63" s="66">
        <v>165000.0</v>
      </c>
      <c r="D63" s="66">
        <v>140000.0</v>
      </c>
      <c r="E63" s="66">
        <v>145000.0</v>
      </c>
      <c r="F63" s="66">
        <v>165000.0</v>
      </c>
      <c r="G63" s="66">
        <v>155000.0</v>
      </c>
      <c r="H63" s="66">
        <v>145000.0</v>
      </c>
      <c r="I63" s="66">
        <v>165000.0</v>
      </c>
      <c r="J63" s="66">
        <v>150000.0</v>
      </c>
      <c r="K63" s="66">
        <v>155000.0</v>
      </c>
      <c r="L63" s="28">
        <v>65.0</v>
      </c>
      <c r="M63" s="28">
        <v>72.0</v>
      </c>
      <c r="N63" s="28">
        <v>78.0</v>
      </c>
      <c r="O63" s="28">
        <v>20.0</v>
      </c>
      <c r="P63" s="28">
        <v>20.0</v>
      </c>
      <c r="Q63" s="28">
        <v>20.0</v>
      </c>
      <c r="R63" s="28">
        <v>25.0</v>
      </c>
      <c r="S63" s="28">
        <v>17.0</v>
      </c>
      <c r="T63" s="28">
        <v>14.0</v>
      </c>
      <c r="U63" s="28">
        <v>15.0</v>
      </c>
      <c r="V63" s="28">
        <v>21.0</v>
      </c>
      <c r="W63" s="28">
        <v>20.0</v>
      </c>
      <c r="X63" s="66">
        <v>4000.0</v>
      </c>
      <c r="Y63" s="66">
        <v>8000.0</v>
      </c>
      <c r="Z63" s="66">
        <v>8000.0</v>
      </c>
      <c r="AA63" s="66">
        <v>160.0</v>
      </c>
      <c r="AB63" s="66">
        <v>470.59</v>
      </c>
      <c r="AC63" s="66">
        <v>571.43</v>
      </c>
      <c r="AD63" s="66">
        <v>350.0</v>
      </c>
      <c r="AE63" s="66">
        <v>350.0</v>
      </c>
      <c r="AF63" s="66">
        <v>300.0</v>
      </c>
      <c r="AG63" s="66">
        <v>345.0</v>
      </c>
      <c r="AH63" s="66">
        <v>405.0</v>
      </c>
      <c r="AI63" s="66">
        <v>352.0</v>
      </c>
      <c r="AJ63" s="66">
        <v>2538.46</v>
      </c>
      <c r="AK63" s="66">
        <v>1944.44</v>
      </c>
      <c r="AL63" s="66">
        <v>1858.97</v>
      </c>
      <c r="AM63" s="66">
        <v>2500.0</v>
      </c>
      <c r="AN63" s="66">
        <v>2500.0</v>
      </c>
      <c r="AO63" s="66">
        <v>2600.0</v>
      </c>
      <c r="AP63" s="66">
        <v>2450.0</v>
      </c>
      <c r="AQ63" s="66">
        <v>2700.0</v>
      </c>
      <c r="AR63" s="67">
        <v>2350.0</v>
      </c>
    </row>
    <row r="64" ht="15.75" customHeight="1">
      <c r="A64" s="63"/>
      <c r="B64" s="65" t="s">
        <v>9</v>
      </c>
      <c r="C64" s="66">
        <v>125000.0</v>
      </c>
      <c r="D64" s="66">
        <v>155000.0</v>
      </c>
      <c r="E64" s="66">
        <v>155000.0</v>
      </c>
      <c r="F64" s="66">
        <v>165000.0</v>
      </c>
      <c r="G64" s="66">
        <v>155000.0</v>
      </c>
      <c r="H64" s="66">
        <v>145000.0</v>
      </c>
      <c r="I64" s="66">
        <v>150000.0</v>
      </c>
      <c r="J64" s="66">
        <v>145000.0</v>
      </c>
      <c r="K64" s="66">
        <v>125000.0</v>
      </c>
      <c r="L64" s="28">
        <v>65.0</v>
      </c>
      <c r="M64" s="28">
        <v>70.0</v>
      </c>
      <c r="N64" s="28">
        <v>85.0</v>
      </c>
      <c r="O64" s="28">
        <v>20.0</v>
      </c>
      <c r="P64" s="28">
        <v>20.0</v>
      </c>
      <c r="Q64" s="28">
        <v>20.0</v>
      </c>
      <c r="R64" s="28">
        <v>19.0</v>
      </c>
      <c r="S64" s="28">
        <v>15.0</v>
      </c>
      <c r="T64" s="28">
        <v>21.0</v>
      </c>
      <c r="U64" s="28">
        <v>22.0</v>
      </c>
      <c r="V64" s="28">
        <v>20.0</v>
      </c>
      <c r="W64" s="28">
        <v>17.0</v>
      </c>
      <c r="X64" s="66">
        <v>9000.0</v>
      </c>
      <c r="Y64" s="66">
        <v>8500.0</v>
      </c>
      <c r="Z64" s="66">
        <v>7000.0</v>
      </c>
      <c r="AA64" s="66">
        <v>473.68</v>
      </c>
      <c r="AB64" s="66">
        <v>566.67</v>
      </c>
      <c r="AC64" s="66">
        <v>333.33</v>
      </c>
      <c r="AD64" s="66">
        <v>350.0</v>
      </c>
      <c r="AE64" s="66">
        <v>350.0</v>
      </c>
      <c r="AF64" s="66">
        <v>300.0</v>
      </c>
      <c r="AG64" s="66">
        <v>350.0</v>
      </c>
      <c r="AH64" s="66">
        <v>400.0</v>
      </c>
      <c r="AI64" s="66">
        <v>388.0</v>
      </c>
      <c r="AJ64" s="66">
        <v>1923.08</v>
      </c>
      <c r="AK64" s="66">
        <v>2214.29</v>
      </c>
      <c r="AL64" s="66">
        <v>1823.53</v>
      </c>
      <c r="AM64" s="66">
        <v>2100.0</v>
      </c>
      <c r="AN64" s="66">
        <v>2400.0</v>
      </c>
      <c r="AO64" s="66">
        <v>2400.0</v>
      </c>
      <c r="AP64" s="66">
        <v>2450.0</v>
      </c>
      <c r="AQ64" s="66">
        <v>2700.0</v>
      </c>
      <c r="AR64" s="67">
        <v>2350.0</v>
      </c>
    </row>
    <row r="65" ht="15.75" customHeight="1">
      <c r="A65" s="63"/>
      <c r="B65" s="65" t="s">
        <v>10</v>
      </c>
      <c r="C65" s="66">
        <v>150000.0</v>
      </c>
      <c r="D65" s="66">
        <v>130000.0</v>
      </c>
      <c r="E65" s="66">
        <v>150000.0</v>
      </c>
      <c r="F65" s="66">
        <v>165000.0</v>
      </c>
      <c r="G65" s="66">
        <v>155000.0</v>
      </c>
      <c r="H65" s="66">
        <v>145000.0</v>
      </c>
      <c r="I65" s="66">
        <v>170000.0</v>
      </c>
      <c r="J65" s="66">
        <v>155000.0</v>
      </c>
      <c r="K65" s="66">
        <v>130000.0</v>
      </c>
      <c r="L65" s="28">
        <v>75.0</v>
      </c>
      <c r="M65" s="28">
        <v>63.0</v>
      </c>
      <c r="N65" s="28">
        <v>80.0</v>
      </c>
      <c r="O65" s="28">
        <v>20.0</v>
      </c>
      <c r="P65" s="28">
        <v>20.0</v>
      </c>
      <c r="Q65" s="28">
        <v>20.0</v>
      </c>
      <c r="R65" s="28">
        <v>24.0</v>
      </c>
      <c r="S65" s="28">
        <v>15.0</v>
      </c>
      <c r="T65" s="28">
        <v>30.0</v>
      </c>
      <c r="U65" s="28">
        <v>23.0</v>
      </c>
      <c r="V65" s="28">
        <v>24.0</v>
      </c>
      <c r="W65" s="28">
        <v>20.0</v>
      </c>
      <c r="X65" s="66">
        <v>9500.0</v>
      </c>
      <c r="Y65" s="66">
        <v>9000.0</v>
      </c>
      <c r="Z65" s="66">
        <v>8000.0</v>
      </c>
      <c r="AA65" s="66">
        <v>395.83</v>
      </c>
      <c r="AB65" s="66">
        <v>600.0</v>
      </c>
      <c r="AC65" s="66">
        <v>266.67</v>
      </c>
      <c r="AD65" s="66">
        <v>350.0</v>
      </c>
      <c r="AE65" s="66">
        <v>350.0</v>
      </c>
      <c r="AF65" s="66">
        <v>300.0</v>
      </c>
      <c r="AG65" s="66">
        <v>360.0</v>
      </c>
      <c r="AH65" s="66">
        <v>350.0</v>
      </c>
      <c r="AI65" s="66">
        <v>425.0</v>
      </c>
      <c r="AJ65" s="66">
        <v>2000.0</v>
      </c>
      <c r="AK65" s="66">
        <v>2063.49</v>
      </c>
      <c r="AL65" s="66">
        <v>1875.0</v>
      </c>
      <c r="AM65" s="66">
        <v>2100.0</v>
      </c>
      <c r="AN65" s="66">
        <v>2800.0</v>
      </c>
      <c r="AO65" s="66">
        <v>3000.0</v>
      </c>
      <c r="AP65" s="66">
        <v>2450.0</v>
      </c>
      <c r="AQ65" s="66">
        <v>2700.0</v>
      </c>
      <c r="AR65" s="67">
        <v>2350.0</v>
      </c>
    </row>
    <row r="66" ht="15.75" customHeight="1">
      <c r="A66" s="63"/>
      <c r="B66" s="70" t="s">
        <v>11</v>
      </c>
      <c r="C66" s="71">
        <f t="shared" ref="C66:Z66" si="9">SUM(C61:C65)</f>
        <v>700000</v>
      </c>
      <c r="D66" s="71">
        <f t="shared" si="9"/>
        <v>715000</v>
      </c>
      <c r="E66" s="71">
        <f t="shared" si="9"/>
        <v>770000</v>
      </c>
      <c r="F66" s="71">
        <f t="shared" si="9"/>
        <v>825000</v>
      </c>
      <c r="G66" s="71">
        <f t="shared" si="9"/>
        <v>775000</v>
      </c>
      <c r="H66" s="71">
        <f t="shared" si="9"/>
        <v>725000</v>
      </c>
      <c r="I66" s="71">
        <f t="shared" si="9"/>
        <v>780000</v>
      </c>
      <c r="J66" s="71">
        <f t="shared" si="9"/>
        <v>700000</v>
      </c>
      <c r="K66" s="71">
        <f t="shared" si="9"/>
        <v>685000</v>
      </c>
      <c r="L66" s="74">
        <f t="shared" si="9"/>
        <v>345</v>
      </c>
      <c r="M66" s="74">
        <f t="shared" si="9"/>
        <v>366</v>
      </c>
      <c r="N66" s="74">
        <f t="shared" si="9"/>
        <v>393</v>
      </c>
      <c r="O66" s="74">
        <f t="shared" si="9"/>
        <v>100</v>
      </c>
      <c r="P66" s="74">
        <f t="shared" si="9"/>
        <v>100</v>
      </c>
      <c r="Q66" s="74">
        <f t="shared" si="9"/>
        <v>100</v>
      </c>
      <c r="R66" s="74">
        <f t="shared" si="9"/>
        <v>108</v>
      </c>
      <c r="S66" s="74">
        <f t="shared" si="9"/>
        <v>87</v>
      </c>
      <c r="T66" s="74">
        <f t="shared" si="9"/>
        <v>114</v>
      </c>
      <c r="U66" s="74">
        <f t="shared" si="9"/>
        <v>97</v>
      </c>
      <c r="V66" s="74">
        <f t="shared" si="9"/>
        <v>96</v>
      </c>
      <c r="W66" s="74">
        <f t="shared" si="9"/>
        <v>94</v>
      </c>
      <c r="X66" s="71">
        <f t="shared" si="9"/>
        <v>33200</v>
      </c>
      <c r="Y66" s="71">
        <f t="shared" si="9"/>
        <v>37500</v>
      </c>
      <c r="Z66" s="71">
        <f t="shared" si="9"/>
        <v>37500</v>
      </c>
      <c r="AA66" s="71">
        <f t="shared" ref="AA66:AR66" si="10">AVERAGE(AA61:AA65)</f>
        <v>316.568</v>
      </c>
      <c r="AB66" s="71">
        <f t="shared" si="10"/>
        <v>446.644</v>
      </c>
      <c r="AC66" s="71">
        <f t="shared" si="10"/>
        <v>353.12</v>
      </c>
      <c r="AD66" s="71">
        <f t="shared" si="10"/>
        <v>350</v>
      </c>
      <c r="AE66" s="71">
        <f t="shared" si="10"/>
        <v>350</v>
      </c>
      <c r="AF66" s="71">
        <f t="shared" si="10"/>
        <v>300</v>
      </c>
      <c r="AG66" s="71">
        <f t="shared" si="10"/>
        <v>374.6</v>
      </c>
      <c r="AH66" s="71">
        <f t="shared" si="10"/>
        <v>378</v>
      </c>
      <c r="AI66" s="71">
        <f t="shared" si="10"/>
        <v>385</v>
      </c>
      <c r="AJ66" s="71">
        <f t="shared" si="10"/>
        <v>2019.488</v>
      </c>
      <c r="AK66" s="71">
        <f t="shared" si="10"/>
        <v>1968.592</v>
      </c>
      <c r="AL66" s="71">
        <f t="shared" si="10"/>
        <v>1972.214</v>
      </c>
      <c r="AM66" s="71">
        <f t="shared" si="10"/>
        <v>2200</v>
      </c>
      <c r="AN66" s="71">
        <f t="shared" si="10"/>
        <v>2520</v>
      </c>
      <c r="AO66" s="71">
        <f t="shared" si="10"/>
        <v>2540</v>
      </c>
      <c r="AP66" s="71">
        <f t="shared" si="10"/>
        <v>2450</v>
      </c>
      <c r="AQ66" s="71">
        <f t="shared" si="10"/>
        <v>2700</v>
      </c>
      <c r="AR66" s="72">
        <f t="shared" si="10"/>
        <v>2350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  <c r="AQ976" s="80"/>
      <c r="AR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  <c r="AQ977" s="80"/>
      <c r="AR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  <c r="AQ978" s="80"/>
      <c r="AR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  <c r="AQ981" s="80"/>
      <c r="AR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  <c r="AQ982" s="80"/>
      <c r="AR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  <c r="AQ986" s="80"/>
      <c r="AR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  <c r="AQ987" s="80"/>
      <c r="AR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  <c r="AQ988" s="80"/>
      <c r="AR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  <c r="AQ992" s="80"/>
      <c r="AR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  <c r="AQ993" s="80"/>
      <c r="AR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  <c r="AQ994" s="80"/>
      <c r="AR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  <c r="AQ996" s="80"/>
      <c r="AR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80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</row>
  </sheetData>
  <mergeCells count="5">
    <mergeCell ref="B5:D5"/>
    <mergeCell ref="B18:C18"/>
    <mergeCell ref="B19:C19"/>
    <mergeCell ref="B20:C20"/>
    <mergeCell ref="B21:C2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17.43"/>
    <col customWidth="1" min="4" max="4" width="16.14"/>
    <col customWidth="1" min="5" max="12" width="8.71"/>
    <col customWidth="1" min="13" max="13" width="12.29"/>
    <col customWidth="1" min="14" max="14" width="20.86"/>
    <col customWidth="1" min="15" max="26" width="8.71"/>
  </cols>
  <sheetData>
    <row r="1">
      <c r="A1" s="81" t="s">
        <v>46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</row>
    <row r="2">
      <c r="A2" s="84"/>
      <c r="V2" s="85"/>
    </row>
    <row r="3">
      <c r="A3" s="86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8"/>
    </row>
    <row r="5">
      <c r="D5" s="89" t="s">
        <v>2</v>
      </c>
    </row>
    <row r="6">
      <c r="A6" s="90" t="s">
        <v>47</v>
      </c>
      <c r="B6" s="9"/>
      <c r="C6" s="91"/>
      <c r="L6" s="92" t="s">
        <v>48</v>
      </c>
      <c r="M6" s="9"/>
      <c r="N6" s="91"/>
    </row>
    <row r="8">
      <c r="A8" s="93" t="s">
        <v>49</v>
      </c>
      <c r="B8" s="9"/>
      <c r="C8" s="91"/>
      <c r="D8" s="94"/>
      <c r="E8" s="94"/>
      <c r="F8" s="94"/>
      <c r="G8" s="94"/>
      <c r="H8" s="94"/>
      <c r="I8" s="94"/>
      <c r="J8" s="95"/>
      <c r="L8" s="96" t="s">
        <v>50</v>
      </c>
      <c r="M8" s="9"/>
      <c r="N8" s="91"/>
      <c r="O8" s="97"/>
      <c r="P8" s="97"/>
      <c r="Q8" s="97"/>
      <c r="R8" s="97"/>
      <c r="S8" s="97"/>
      <c r="T8" s="97"/>
      <c r="U8" s="98"/>
    </row>
    <row r="9">
      <c r="A9" s="99"/>
      <c r="B9" s="100"/>
      <c r="C9" s="100"/>
      <c r="D9" s="100"/>
      <c r="E9" s="100"/>
      <c r="F9" s="100"/>
      <c r="G9" s="100"/>
      <c r="H9" s="100"/>
      <c r="I9" s="100"/>
      <c r="J9" s="101"/>
      <c r="L9" s="102"/>
      <c r="M9" s="103"/>
      <c r="N9" s="103"/>
      <c r="O9" s="103"/>
      <c r="P9" s="103"/>
      <c r="Q9" s="103"/>
      <c r="R9" s="103"/>
      <c r="S9" s="103"/>
      <c r="T9" s="103"/>
      <c r="U9" s="104"/>
      <c r="W9" s="4"/>
    </row>
    <row r="10">
      <c r="A10" s="105" t="s">
        <v>51</v>
      </c>
      <c r="B10" s="44"/>
      <c r="C10" s="106">
        <f>SUM(DATA!C16:E16)</f>
        <v>2455000</v>
      </c>
      <c r="D10" s="100"/>
      <c r="E10" s="100"/>
      <c r="F10" s="100"/>
      <c r="G10" s="100"/>
      <c r="H10" s="100"/>
      <c r="I10" s="100"/>
      <c r="J10" s="101"/>
      <c r="L10" s="107" t="s">
        <v>52</v>
      </c>
      <c r="M10" s="44"/>
      <c r="N10" s="108">
        <f>SUM(DATA!R16:T16)</f>
        <v>311</v>
      </c>
      <c r="O10" s="103"/>
      <c r="P10" s="103"/>
      <c r="Q10" s="103"/>
      <c r="R10" s="103"/>
      <c r="S10" s="103"/>
      <c r="T10" s="103"/>
      <c r="U10" s="104"/>
      <c r="W10" s="4"/>
      <c r="X10" s="4"/>
    </row>
    <row r="11">
      <c r="A11" s="99"/>
      <c r="B11" s="100"/>
      <c r="C11" s="100"/>
      <c r="D11" s="100"/>
      <c r="E11" s="100"/>
      <c r="F11" s="100"/>
      <c r="G11" s="100"/>
      <c r="H11" s="100"/>
      <c r="I11" s="100"/>
      <c r="J11" s="101"/>
      <c r="L11" s="102"/>
      <c r="M11" s="103"/>
      <c r="N11" s="103"/>
      <c r="O11" s="103"/>
      <c r="P11" s="103"/>
      <c r="Q11" s="103"/>
      <c r="R11" s="103"/>
      <c r="S11" s="103"/>
      <c r="T11" s="103"/>
      <c r="U11" s="104"/>
      <c r="X11" s="4"/>
    </row>
    <row r="12">
      <c r="A12" s="99"/>
      <c r="B12" s="100"/>
      <c r="C12" s="100"/>
      <c r="D12" s="100"/>
      <c r="E12" s="100"/>
      <c r="F12" s="100"/>
      <c r="G12" s="100"/>
      <c r="H12" s="100"/>
      <c r="I12" s="100"/>
      <c r="J12" s="101"/>
      <c r="L12" s="102"/>
      <c r="M12" s="103"/>
      <c r="N12" s="103"/>
      <c r="O12" s="103"/>
      <c r="P12" s="103"/>
      <c r="Q12" s="103"/>
      <c r="R12" s="103"/>
      <c r="S12" s="103"/>
      <c r="T12" s="103"/>
      <c r="U12" s="104"/>
      <c r="X12" s="4"/>
    </row>
    <row r="13">
      <c r="A13" s="99"/>
      <c r="B13" s="100"/>
      <c r="C13" s="100"/>
      <c r="D13" s="100"/>
      <c r="E13" s="100"/>
      <c r="F13" s="100"/>
      <c r="G13" s="100"/>
      <c r="H13" s="100"/>
      <c r="I13" s="100"/>
      <c r="J13" s="101"/>
      <c r="L13" s="102"/>
      <c r="M13" s="103"/>
      <c r="N13" s="103"/>
      <c r="O13" s="103"/>
      <c r="P13" s="103"/>
      <c r="Q13" s="103"/>
      <c r="R13" s="103"/>
      <c r="S13" s="103"/>
      <c r="T13" s="103"/>
      <c r="U13" s="104"/>
    </row>
    <row r="14">
      <c r="A14" s="105" t="s">
        <v>21</v>
      </c>
      <c r="B14" s="44"/>
      <c r="C14" s="106">
        <f>SUM(DATA!F16:H16)</f>
        <v>2250000</v>
      </c>
      <c r="D14" s="100"/>
      <c r="E14" s="100"/>
      <c r="F14" s="100"/>
      <c r="G14" s="100"/>
      <c r="H14" s="100"/>
      <c r="I14" s="100"/>
      <c r="J14" s="101"/>
      <c r="L14" s="107" t="s">
        <v>53</v>
      </c>
      <c r="M14" s="44"/>
      <c r="N14" s="108">
        <f>SUM(DATA!O16:Q16)</f>
        <v>425</v>
      </c>
      <c r="O14" s="103"/>
      <c r="P14" s="103"/>
      <c r="Q14" s="103"/>
      <c r="R14" s="103"/>
      <c r="S14" s="103"/>
      <c r="T14" s="103"/>
      <c r="U14" s="104"/>
    </row>
    <row r="15">
      <c r="A15" s="99"/>
      <c r="B15" s="100"/>
      <c r="C15" s="100"/>
      <c r="D15" s="100"/>
      <c r="E15" s="100"/>
      <c r="F15" s="100"/>
      <c r="G15" s="100"/>
      <c r="H15" s="100"/>
      <c r="I15" s="100"/>
      <c r="J15" s="101"/>
      <c r="L15" s="102"/>
      <c r="M15" s="103"/>
      <c r="N15" s="103"/>
      <c r="O15" s="103"/>
      <c r="P15" s="103"/>
      <c r="Q15" s="103"/>
      <c r="R15" s="103"/>
      <c r="S15" s="103"/>
      <c r="T15" s="103"/>
      <c r="U15" s="104"/>
    </row>
    <row r="16">
      <c r="A16" s="99"/>
      <c r="B16" s="100"/>
      <c r="C16" s="100"/>
      <c r="D16" s="100"/>
      <c r="E16" s="100"/>
      <c r="F16" s="100"/>
      <c r="G16" s="100"/>
      <c r="H16" s="100"/>
      <c r="I16" s="100"/>
      <c r="J16" s="101"/>
      <c r="L16" s="102"/>
      <c r="M16" s="103"/>
      <c r="N16" s="103"/>
      <c r="O16" s="103"/>
      <c r="P16" s="103"/>
      <c r="Q16" s="103"/>
      <c r="R16" s="103"/>
      <c r="S16" s="103"/>
      <c r="T16" s="103"/>
      <c r="U16" s="104"/>
    </row>
    <row r="17">
      <c r="A17" s="99"/>
      <c r="B17" s="100"/>
      <c r="C17" s="100"/>
      <c r="D17" s="100"/>
      <c r="E17" s="100"/>
      <c r="F17" s="100"/>
      <c r="G17" s="100"/>
      <c r="H17" s="100"/>
      <c r="I17" s="100"/>
      <c r="J17" s="101"/>
      <c r="L17" s="102"/>
      <c r="M17" s="103"/>
      <c r="N17" s="103"/>
      <c r="O17" s="103"/>
      <c r="P17" s="103"/>
      <c r="Q17" s="103"/>
      <c r="R17" s="103"/>
      <c r="S17" s="103"/>
      <c r="T17" s="103"/>
      <c r="U17" s="104"/>
    </row>
    <row r="18">
      <c r="A18" s="105" t="s">
        <v>54</v>
      </c>
      <c r="B18" s="44"/>
      <c r="C18" s="109">
        <f>C10/C14</f>
        <v>1.091111111</v>
      </c>
      <c r="D18" s="100"/>
      <c r="E18" s="100"/>
      <c r="F18" s="100"/>
      <c r="G18" s="100"/>
      <c r="H18" s="100"/>
      <c r="I18" s="100"/>
      <c r="J18" s="101"/>
      <c r="L18" s="107" t="s">
        <v>54</v>
      </c>
      <c r="M18" s="44"/>
      <c r="N18" s="110">
        <f>N10/N14</f>
        <v>0.7317647059</v>
      </c>
      <c r="O18" s="103"/>
      <c r="P18" s="103"/>
      <c r="Q18" s="103"/>
      <c r="R18" s="103"/>
      <c r="S18" s="103"/>
      <c r="T18" s="103"/>
      <c r="U18" s="104"/>
    </row>
    <row r="19">
      <c r="A19" s="99"/>
      <c r="B19" s="100"/>
      <c r="C19" s="100"/>
      <c r="D19" s="100"/>
      <c r="E19" s="100"/>
      <c r="F19" s="100"/>
      <c r="G19" s="100"/>
      <c r="H19" s="100"/>
      <c r="I19" s="100"/>
      <c r="J19" s="101"/>
      <c r="L19" s="102"/>
      <c r="M19" s="103"/>
      <c r="N19" s="103"/>
      <c r="O19" s="103"/>
      <c r="P19" s="103"/>
      <c r="Q19" s="103"/>
      <c r="R19" s="103"/>
      <c r="S19" s="103"/>
      <c r="T19" s="103"/>
      <c r="U19" s="104"/>
    </row>
    <row r="20">
      <c r="A20" s="99"/>
      <c r="B20" s="100"/>
      <c r="C20" s="100"/>
      <c r="D20" s="100"/>
      <c r="E20" s="100"/>
      <c r="F20" s="100"/>
      <c r="G20" s="100"/>
      <c r="H20" s="100"/>
      <c r="I20" s="100"/>
      <c r="J20" s="101"/>
      <c r="L20" s="102"/>
      <c r="M20" s="103"/>
      <c r="N20" s="103"/>
      <c r="O20" s="103"/>
      <c r="P20" s="103"/>
      <c r="Q20" s="103"/>
      <c r="R20" s="103"/>
      <c r="S20" s="103"/>
      <c r="T20" s="103"/>
      <c r="U20" s="104"/>
    </row>
    <row r="21" ht="15.75" customHeight="1">
      <c r="A21" s="111"/>
      <c r="B21" s="112"/>
      <c r="C21" s="112"/>
      <c r="D21" s="112"/>
      <c r="E21" s="112"/>
      <c r="F21" s="112"/>
      <c r="G21" s="112"/>
      <c r="H21" s="112"/>
      <c r="I21" s="112"/>
      <c r="J21" s="113"/>
      <c r="L21" s="114"/>
      <c r="M21" s="115"/>
      <c r="N21" s="115"/>
      <c r="O21" s="115"/>
      <c r="P21" s="115"/>
      <c r="Q21" s="115"/>
      <c r="R21" s="115"/>
      <c r="S21" s="115"/>
      <c r="T21" s="115"/>
      <c r="U21" s="116"/>
    </row>
    <row r="22" ht="15.75" customHeight="1">
      <c r="A22" s="117"/>
      <c r="B22" s="118"/>
      <c r="C22" s="118"/>
      <c r="D22" s="4"/>
    </row>
    <row r="23" ht="15.75" customHeight="1">
      <c r="A23" s="119" t="s">
        <v>55</v>
      </c>
      <c r="B23" s="9"/>
      <c r="C23" s="91"/>
      <c r="L23" s="120" t="s">
        <v>56</v>
      </c>
      <c r="M23" s="9"/>
      <c r="N23" s="91"/>
    </row>
    <row r="24" ht="15.75" customHeight="1">
      <c r="A24" s="4"/>
      <c r="B24" s="4"/>
      <c r="C24" s="4"/>
      <c r="L24" s="4"/>
      <c r="M24" s="4"/>
      <c r="N24" s="4"/>
    </row>
    <row r="25" ht="15.75" customHeight="1">
      <c r="A25" s="121" t="s">
        <v>57</v>
      </c>
      <c r="B25" s="9"/>
      <c r="C25" s="91"/>
      <c r="D25" s="122"/>
      <c r="E25" s="122"/>
      <c r="F25" s="122"/>
      <c r="G25" s="122"/>
      <c r="H25" s="122"/>
      <c r="I25" s="122"/>
      <c r="J25" s="123"/>
      <c r="L25" s="124" t="s">
        <v>58</v>
      </c>
      <c r="M25" s="9"/>
      <c r="N25" s="91"/>
      <c r="O25" s="125"/>
      <c r="P25" s="125"/>
      <c r="Q25" s="125"/>
      <c r="R25" s="125"/>
      <c r="S25" s="125"/>
      <c r="T25" s="125"/>
      <c r="U25" s="126"/>
    </row>
    <row r="26" ht="15.75" customHeight="1">
      <c r="A26" s="127"/>
      <c r="B26" s="128"/>
      <c r="C26" s="128"/>
      <c r="D26" s="128"/>
      <c r="E26" s="128"/>
      <c r="F26" s="128"/>
      <c r="G26" s="128"/>
      <c r="H26" s="128"/>
      <c r="I26" s="128"/>
      <c r="J26" s="129"/>
      <c r="L26" s="130"/>
      <c r="M26" s="131"/>
      <c r="N26" s="131"/>
      <c r="O26" s="131"/>
      <c r="P26" s="131"/>
      <c r="Q26" s="131"/>
      <c r="R26" s="131"/>
      <c r="S26" s="131"/>
      <c r="T26" s="131"/>
      <c r="U26" s="132"/>
    </row>
    <row r="27" ht="15.75" customHeight="1">
      <c r="A27" s="133" t="s">
        <v>59</v>
      </c>
      <c r="B27" s="44"/>
      <c r="C27" s="134">
        <f>SUM(DATA!AJ16:AL16)</f>
        <v>8608.154</v>
      </c>
      <c r="D27" s="128"/>
      <c r="E27" s="128"/>
      <c r="F27" s="128"/>
      <c r="G27" s="128"/>
      <c r="H27" s="128"/>
      <c r="I27" s="128"/>
      <c r="J27" s="129"/>
      <c r="L27" s="135" t="s">
        <v>60</v>
      </c>
      <c r="M27" s="44"/>
      <c r="N27" s="136">
        <f>SUM(DATA!AA16:AC16)</f>
        <v>1194.836</v>
      </c>
      <c r="O27" s="131"/>
      <c r="P27" s="131"/>
      <c r="Q27" s="131"/>
      <c r="R27" s="131"/>
      <c r="S27" s="131"/>
      <c r="T27" s="131"/>
      <c r="U27" s="132"/>
    </row>
    <row r="28" ht="15.75" customHeight="1">
      <c r="A28" s="127"/>
      <c r="B28" s="128"/>
      <c r="C28" s="128"/>
      <c r="D28" s="128"/>
      <c r="E28" s="128"/>
      <c r="F28" s="128"/>
      <c r="G28" s="128"/>
      <c r="H28" s="128"/>
      <c r="I28" s="128"/>
      <c r="J28" s="129"/>
      <c r="L28" s="130"/>
      <c r="M28" s="131"/>
      <c r="N28" s="131"/>
      <c r="O28" s="131"/>
      <c r="P28" s="131"/>
      <c r="Q28" s="131"/>
      <c r="R28" s="131"/>
      <c r="S28" s="131"/>
      <c r="T28" s="131"/>
      <c r="U28" s="132"/>
    </row>
    <row r="29" ht="15.75" customHeight="1">
      <c r="A29" s="127"/>
      <c r="B29" s="128"/>
      <c r="C29" s="128"/>
      <c r="D29" s="128"/>
      <c r="E29" s="128"/>
      <c r="F29" s="128"/>
      <c r="G29" s="128"/>
      <c r="H29" s="128"/>
      <c r="I29" s="128"/>
      <c r="J29" s="129"/>
      <c r="L29" s="130"/>
      <c r="M29" s="131"/>
      <c r="N29" s="131"/>
      <c r="O29" s="131"/>
      <c r="P29" s="131"/>
      <c r="Q29" s="131"/>
      <c r="R29" s="131"/>
      <c r="S29" s="131"/>
      <c r="T29" s="131"/>
      <c r="U29" s="132"/>
    </row>
    <row r="30" ht="15.75" customHeight="1">
      <c r="A30" s="127"/>
      <c r="B30" s="128"/>
      <c r="C30" s="128"/>
      <c r="D30" s="128"/>
      <c r="E30" s="128"/>
      <c r="F30" s="128"/>
      <c r="G30" s="128"/>
      <c r="H30" s="128"/>
      <c r="I30" s="128"/>
      <c r="J30" s="129"/>
      <c r="L30" s="130"/>
      <c r="M30" s="131"/>
      <c r="N30" s="131"/>
      <c r="O30" s="131"/>
      <c r="P30" s="131"/>
      <c r="Q30" s="131"/>
      <c r="R30" s="131"/>
      <c r="S30" s="131"/>
      <c r="T30" s="131"/>
      <c r="U30" s="132"/>
    </row>
    <row r="31" ht="15.75" customHeight="1">
      <c r="A31" s="137" t="s">
        <v>61</v>
      </c>
      <c r="B31" s="44"/>
      <c r="C31" s="134">
        <f>SUM(DATA!AP16:AR16)</f>
        <v>7800</v>
      </c>
      <c r="D31" s="128"/>
      <c r="E31" s="128"/>
      <c r="F31" s="128"/>
      <c r="G31" s="128"/>
      <c r="H31" s="128"/>
      <c r="I31" s="128"/>
      <c r="J31" s="129"/>
      <c r="L31" s="135" t="s">
        <v>62</v>
      </c>
      <c r="M31" s="44"/>
      <c r="N31" s="136">
        <f>SUM(DATA!AD16:AF16)</f>
        <v>1100</v>
      </c>
      <c r="O31" s="131"/>
      <c r="P31" s="131"/>
      <c r="Q31" s="131"/>
      <c r="R31" s="131"/>
      <c r="S31" s="131"/>
      <c r="T31" s="131"/>
      <c r="U31" s="132"/>
    </row>
    <row r="32" ht="15.75" customHeight="1">
      <c r="A32" s="127"/>
      <c r="B32" s="128"/>
      <c r="C32" s="128"/>
      <c r="D32" s="128"/>
      <c r="E32" s="128"/>
      <c r="F32" s="128"/>
      <c r="G32" s="128"/>
      <c r="H32" s="128"/>
      <c r="I32" s="128"/>
      <c r="J32" s="129"/>
      <c r="L32" s="130"/>
      <c r="M32" s="131"/>
      <c r="N32" s="131"/>
      <c r="O32" s="131"/>
      <c r="P32" s="131"/>
      <c r="Q32" s="131"/>
      <c r="R32" s="131"/>
      <c r="S32" s="131"/>
      <c r="T32" s="131"/>
      <c r="U32" s="132"/>
    </row>
    <row r="33" ht="15.75" customHeight="1">
      <c r="A33" s="127"/>
      <c r="B33" s="128"/>
      <c r="C33" s="128"/>
      <c r="D33" s="128"/>
      <c r="E33" s="128"/>
      <c r="F33" s="128"/>
      <c r="G33" s="128"/>
      <c r="H33" s="128"/>
      <c r="I33" s="128"/>
      <c r="J33" s="129"/>
      <c r="L33" s="130"/>
      <c r="M33" s="131"/>
      <c r="N33" s="131"/>
      <c r="O33" s="131"/>
      <c r="P33" s="131"/>
      <c r="Q33" s="131"/>
      <c r="R33" s="131"/>
      <c r="S33" s="131"/>
      <c r="T33" s="131"/>
      <c r="U33" s="132"/>
    </row>
    <row r="34" ht="15.75" customHeight="1">
      <c r="A34" s="127"/>
      <c r="B34" s="128"/>
      <c r="C34" s="128"/>
      <c r="D34" s="128"/>
      <c r="E34" s="128"/>
      <c r="F34" s="128"/>
      <c r="G34" s="128"/>
      <c r="H34" s="128"/>
      <c r="I34" s="128"/>
      <c r="J34" s="129"/>
      <c r="L34" s="130"/>
      <c r="M34" s="131"/>
      <c r="N34" s="131"/>
      <c r="O34" s="131"/>
      <c r="P34" s="131"/>
      <c r="Q34" s="131"/>
      <c r="R34" s="131"/>
      <c r="S34" s="131"/>
      <c r="T34" s="131"/>
      <c r="U34" s="132"/>
    </row>
    <row r="35" ht="15.75" customHeight="1">
      <c r="A35" s="137" t="s">
        <v>54</v>
      </c>
      <c r="B35" s="44"/>
      <c r="C35" s="138">
        <f>C27/C31</f>
        <v>1.103609487</v>
      </c>
      <c r="D35" s="128"/>
      <c r="E35" s="128"/>
      <c r="F35" s="128"/>
      <c r="G35" s="128"/>
      <c r="H35" s="128"/>
      <c r="I35" s="128"/>
      <c r="J35" s="129"/>
      <c r="L35" s="135" t="s">
        <v>54</v>
      </c>
      <c r="M35" s="44"/>
      <c r="N35" s="139">
        <f>N27/N31</f>
        <v>1.086214545</v>
      </c>
      <c r="O35" s="131"/>
      <c r="P35" s="131"/>
      <c r="Q35" s="131"/>
      <c r="R35" s="131"/>
      <c r="S35" s="131"/>
      <c r="T35" s="131"/>
      <c r="U35" s="132"/>
    </row>
    <row r="36" ht="15.75" customHeight="1">
      <c r="A36" s="127"/>
      <c r="B36" s="128"/>
      <c r="C36" s="128"/>
      <c r="D36" s="128"/>
      <c r="E36" s="128"/>
      <c r="F36" s="128"/>
      <c r="G36" s="128"/>
      <c r="H36" s="128"/>
      <c r="I36" s="128"/>
      <c r="J36" s="129"/>
      <c r="L36" s="130"/>
      <c r="M36" s="131"/>
      <c r="N36" s="131"/>
      <c r="O36" s="131"/>
      <c r="P36" s="131"/>
      <c r="Q36" s="131"/>
      <c r="R36" s="131"/>
      <c r="S36" s="131"/>
      <c r="T36" s="131"/>
      <c r="U36" s="132"/>
    </row>
    <row r="37" ht="15.75" customHeight="1">
      <c r="A37" s="127"/>
      <c r="B37" s="128"/>
      <c r="C37" s="128"/>
      <c r="D37" s="128"/>
      <c r="E37" s="128"/>
      <c r="F37" s="128"/>
      <c r="G37" s="128"/>
      <c r="H37" s="128"/>
      <c r="I37" s="128"/>
      <c r="J37" s="129"/>
      <c r="L37" s="130"/>
      <c r="M37" s="131"/>
      <c r="N37" s="131"/>
      <c r="O37" s="131"/>
      <c r="P37" s="131"/>
      <c r="Q37" s="131"/>
      <c r="R37" s="131"/>
      <c r="S37" s="131"/>
      <c r="T37" s="131"/>
      <c r="U37" s="132"/>
    </row>
    <row r="38" ht="15.7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2"/>
      <c r="L38" s="143"/>
      <c r="M38" s="144"/>
      <c r="N38" s="144"/>
      <c r="O38" s="144"/>
      <c r="P38" s="144"/>
      <c r="Q38" s="144"/>
      <c r="R38" s="144"/>
      <c r="S38" s="144"/>
      <c r="T38" s="144"/>
      <c r="U38" s="14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0:M10"/>
    <mergeCell ref="L14:M14"/>
    <mergeCell ref="L31:M31"/>
    <mergeCell ref="L35:M35"/>
    <mergeCell ref="A1:V3"/>
    <mergeCell ref="A6:C6"/>
    <mergeCell ref="L6:N6"/>
    <mergeCell ref="A8:C8"/>
    <mergeCell ref="L8:N8"/>
    <mergeCell ref="A10:B10"/>
    <mergeCell ref="A14:B14"/>
    <mergeCell ref="A27:B27"/>
    <mergeCell ref="A31:B31"/>
    <mergeCell ref="A35:B35"/>
    <mergeCell ref="A18:B18"/>
    <mergeCell ref="L18:M18"/>
    <mergeCell ref="A23:C23"/>
    <mergeCell ref="L23:N23"/>
    <mergeCell ref="A25:C25"/>
    <mergeCell ref="L25:N25"/>
    <mergeCell ref="L27:M27"/>
  </mergeCells>
  <dataValidations>
    <dataValidation type="list" allowBlank="1" showErrorMessage="1" sqref="D5">
      <formula1>DATA!$G$1:$G$4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Jayesh</dc:creator>
</cp:coreProperties>
</file>